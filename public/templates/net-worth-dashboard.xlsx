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Accounts" sheetId="3" state="visible" r:id="rId3"/>
    <sheet name="Snapshots" sheetId="4" state="visible" r:id="rId4"/>
    <sheet name="Lists" sheetId="5" state="visible" r:id="rId5"/>
  </sheets>
  <definedNames/>
  <calcPr calcId="124519" fullCalcOnLoad="1"/>
</workbook>
</file>

<file path=xl/styles.xml><?xml version="1.0" encoding="utf-8"?>
<styleSheet xmlns="http://schemas.openxmlformats.org/spreadsheetml/2006/main">
  <numFmts count="5">
    <numFmt numFmtId="164" formatCode="mmm yyyy"/>
    <numFmt numFmtId="165" formatCode="&quot;$&quot;#,##0;-&quot;$&quot;#,##0"/>
    <numFmt numFmtId="166" formatCode="+&quot;$&quot;#,##0;-&quot;$&quot;#,##0;&quot;$&quot;0"/>
    <numFmt numFmtId="167" formatCode="0.0&quot; months&quot;"/>
    <numFmt numFmtId="168" formatCode="yyyy-mm-dd"/>
  </numFmts>
  <fonts count="10">
    <font>
      <name val="Calibri"/>
      <family val="2"/>
      <color theme="1"/>
      <sz val="11"/>
      <scheme val="minor"/>
    </font>
    <font>
      <b val="1"/>
      <color rgb="000F172A"/>
      <sz val="18"/>
    </font>
    <font>
      <i val="1"/>
      <color rgb="00475569"/>
      <sz val="11"/>
    </font>
    <font>
      <b val="1"/>
      <color rgb="00047857"/>
      <sz val="13"/>
    </font>
    <font>
      <b val="1"/>
      <color rgb="000F172A"/>
    </font>
    <font>
      <color rgb="000F172A"/>
    </font>
    <font>
      <color rgb="00047857"/>
      <u val="single"/>
    </font>
    <font>
      <b val="1"/>
      <color rgb="00047857"/>
    </font>
    <font>
      <b val="1"/>
      <color rgb="00FFFFFF"/>
    </font>
    <font>
      <color rgb="00475569"/>
    </font>
  </fonts>
  <fills count="4">
    <fill>
      <patternFill/>
    </fill>
    <fill>
      <patternFill patternType="gray125"/>
    </fill>
    <fill>
      <patternFill patternType="solid">
        <fgColor rgb="00ECFDF5"/>
      </patternFill>
    </fill>
    <fill>
      <patternFill patternType="solid">
        <fgColor rgb="000F172A"/>
      </patternFill>
    </fill>
  </fills>
  <borders count="2">
    <border>
      <left/>
      <right/>
      <top/>
      <bottom/>
      <diagonal/>
    </border>
    <border>
      <left style="thin">
        <color rgb="00A7F3D0"/>
      </left>
      <right style="thin">
        <color rgb="00A7F3D0"/>
      </right>
      <top style="thin">
        <color rgb="00A7F3D0"/>
      </top>
      <bottom style="thin">
        <color rgb="00A7F3D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5" fillId="2" borderId="1" pivotButton="0" quotePrefix="0" xfId="0"/>
    <xf numFmtId="0" fontId="6" fillId="0" borderId="0" pivotButton="0" quotePrefix="0" xfId="0"/>
    <xf numFmtId="0" fontId="4" fillId="0" borderId="0" pivotButton="0" quotePrefix="0" xfId="0"/>
    <xf numFmtId="164" fontId="7" fillId="0" borderId="0" applyAlignment="1" pivotButton="0" quotePrefix="0" xfId="0">
      <alignment horizontal="right"/>
    </xf>
    <xf numFmtId="0" fontId="8" fillId="3" borderId="0" applyAlignment="1" pivotButton="0" quotePrefix="0" xfId="0">
      <alignment horizontal="left" vertical="center"/>
    </xf>
    <xf numFmtId="0" fontId="8" fillId="3" borderId="0" applyAlignment="1" pivotButton="0" quotePrefix="0" xfId="0">
      <alignment horizontal="center" vertical="center"/>
    </xf>
    <xf numFmtId="165" fontId="7" fillId="0" borderId="0" pivotButton="0" quotePrefix="0" xfId="0"/>
    <xf numFmtId="164" fontId="5" fillId="0" borderId="0" pivotButton="0" quotePrefix="0" xfId="0"/>
    <xf numFmtId="165" fontId="5" fillId="0" borderId="0" pivotButton="0" quotePrefix="0" xfId="0"/>
    <xf numFmtId="0" fontId="5" fillId="0" borderId="0" pivotButton="0" quotePrefix="0" xfId="0"/>
    <xf numFmtId="166" fontId="0" fillId="0" borderId="0" pivotButton="0" quotePrefix="0" xfId="0"/>
    <xf numFmtId="9" fontId="0" fillId="0" borderId="0" pivotButton="0" quotePrefix="0" xfId="0"/>
    <xf numFmtId="165" fontId="5" fillId="2" borderId="1" pivotButton="0" quotePrefix="0" xfId="0"/>
    <xf numFmtId="165" fontId="0" fillId="0" borderId="0" pivotButton="0" quotePrefix="0" xfId="0"/>
    <xf numFmtId="167" fontId="7" fillId="0" borderId="0" pivotButton="0" quotePrefix="0" xfId="0"/>
    <xf numFmtId="0" fontId="9" fillId="0" borderId="0" pivotButton="0" quotePrefix="0" xfId="0"/>
    <xf numFmtId="164" fontId="4" fillId="2" borderId="1" applyAlignment="1" pivotButton="0" quotePrefix="0" xfId="0">
      <alignment horizontal="center"/>
    </xf>
    <xf numFmtId="164" fontId="8" fillId="3" borderId="0" applyAlignment="1" pivotButton="0" quotePrefix="0" xfId="0">
      <alignment horizontal="center"/>
    </xf>
    <xf numFmtId="0" fontId="9" fillId="0" borderId="0" applyAlignment="1" pivotButton="0" quotePrefix="0" xfId="0">
      <alignment horizontal="center"/>
    </xf>
  </cellXfs>
  <cellStyles count="1">
    <cellStyle name="Normal" xfId="0" builtinId="0" hidden="0"/>
  </cellStyles>
  <dxfs count="1">
    <dxf>
      <font>
        <color rgb="00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
  <chart>
    <title>
      <tx>
        <rich>
          <a:bodyPr/>
          <a:p>
            <a:pPr>
              <a:defRPr/>
            </a:pPr>
            <a:r>
              <a:t>Net worth by month</a:t>
            </a:r>
          </a:p>
        </rich>
      </tx>
    </title>
    <plotArea>
      <lineChart>
        <grouping val="standard"/>
        <ser>
          <idx val="0"/>
          <order val="0"/>
          <tx>
            <strRef>
              <f>'Dashboard'!F6</f>
            </strRef>
          </tx>
          <spPr>
            <a:ln w="28000">
              <a:solidFill>
                <a:srgbClr val="10B981"/>
              </a:solidFill>
              <a:prstDash val="solid"/>
            </a:ln>
          </spPr>
          <marker>
            <symbol val="none"/>
            <spPr>
              <a:ln>
                <a:prstDash val="solid"/>
              </a:ln>
            </spPr>
          </marker>
          <cat>
            <numRef>
              <f>'Dashboard'!$E$7:$E$30</f>
            </numRef>
          </cat>
          <val>
            <numRef>
              <f>'Dashboard'!$F$7:$F$30</f>
            </numRef>
          </val>
          <smooth val="0"/>
        </ser>
        <axId val="10"/>
        <axId val="100"/>
      </lineChart>
      <catAx>
        <axId val="10"/>
        <scaling>
          <orientation val="minMax"/>
        </scaling>
        <axPos val="l"/>
        <numFmt formatCode="mmm yy" sourceLinked="0"/>
        <majorTickMark val="none"/>
        <minorTickMark val="none"/>
        <crossAx val="100"/>
        <lblOffset val="100"/>
      </catAx>
      <valAx>
        <axId val="100"/>
        <scaling>
          <orientation val="minMax"/>
        </scaling>
        <axPos val="l"/>
        <majorGridlines/>
        <numFmt formatCode="&quot;$&quot;#,##0"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Asset mix</a:t>
            </a:r>
          </a:p>
        </rich>
      </tx>
    </title>
    <plotArea>
      <barChart>
        <barDir val="bar"/>
        <grouping val="clustered"/>
        <ser>
          <idx val="0"/>
          <order val="0"/>
          <tx>
            <strRef>
              <f>'Dashboard'!B22</f>
            </strRef>
          </tx>
          <spPr>
            <a:solidFill>
              <a:srgbClr val="1E293B"/>
            </a:solidFill>
            <a:ln>
              <a:prstDash val="solid"/>
            </a:ln>
          </spPr>
          <cat>
            <numRef>
              <f>'Dashboard'!$A$23:$A$29</f>
            </numRef>
          </cat>
          <val>
            <numRef>
              <f>'Dashboard'!$B$23:$B$29</f>
            </numRef>
          </val>
        </ser>
        <gapWidth val="150"/>
        <axId val="10"/>
        <axId val="100"/>
      </barChart>
      <catAx>
        <axId val="10"/>
        <scaling>
          <orientation val="minMax"/>
        </scaling>
        <axPos val="l"/>
        <numFmt formatCode="&quot;$&quot;#,##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20</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y-wealth-framework.vercel.app/01-financial-defense" TargetMode="External" Id="rId1" /></Relationships>
</file>

<file path=xl/worksheets/_rels/sheet2.xml.rels><Relationships xmlns="http://schemas.openxmlformats.org/package/2006/relationships"><Relationship Type="http://schemas.openxmlformats.org/officeDocument/2006/relationships/hyperlink" Target="https://diy-wealth-framework.vercel.app/01-financial-defense"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1" summaryRight="1"/>
    <pageSetUpPr fitToPage="1"/>
  </sheetPr>
  <dimension ref="A1:B15"/>
  <sheetViews>
    <sheetView showGridLines="0" workbookViewId="0">
      <selection activeCell="A1" sqref="A1"/>
    </sheetView>
  </sheetViews>
  <sheetFormatPr baseColWidth="8" defaultRowHeight="15"/>
  <cols>
    <col width="4" customWidth="1" min="1" max="1"/>
    <col width="96" customWidth="1" min="2" max="2"/>
  </cols>
  <sheetData>
    <row r="1" ht="28" customHeight="1">
      <c r="A1" s="1" t="inlineStr">
        <is>
          <t>Net Worth Dashboard</t>
        </is>
      </c>
    </row>
    <row r="2">
      <c r="A2" s="2" t="inlineStr">
        <is>
          <t>A monthly snapshot of everything you own and owe, from the DIY Wealth Framework.</t>
        </is>
      </c>
    </row>
    <row r="4">
      <c r="A4" s="3" t="inlineStr">
        <is>
          <t>How to use it</t>
        </is>
      </c>
    </row>
    <row r="5" ht="32" customHeight="1">
      <c r="A5" s="4" t="inlineStr">
        <is>
          <t>1.</t>
        </is>
      </c>
      <c r="B5" s="5" t="inlineStr">
        <is>
          <t>On the Accounts tab, list every asset and debt once and pick its type. The accounts provided are only examples: rename, add or delete rows.</t>
        </is>
      </c>
    </row>
    <row r="6" ht="32" customHeight="1">
      <c r="A6" s="4" t="inlineStr">
        <is>
          <t>2.</t>
        </is>
      </c>
      <c r="B6" s="5" t="inlineStr">
        <is>
          <t>Once a month, go to the Snapshots tab and enter each balance in that month's column. Enter debts as positive numbers.</t>
        </is>
      </c>
    </row>
    <row r="7" ht="16" customHeight="1">
      <c r="A7" s="4" t="inlineStr">
        <is>
          <t>3.</t>
        </is>
      </c>
      <c r="B7" s="5" t="inlineStr">
        <is>
          <t>Set your first month in Snapshots cell C4. The next 23 months fill in after it.</t>
        </is>
      </c>
    </row>
    <row r="8" ht="32" customHeight="1">
      <c r="A8" s="4" t="inlineStr">
        <is>
          <t>4.</t>
        </is>
      </c>
      <c r="B8" s="5" t="inlineStr">
        <is>
          <t>On the Dashboard tab, enter your monthly essential expenses once to see how many months your cash covers.</t>
        </is>
      </c>
    </row>
    <row r="9" ht="32" customHeight="1">
      <c r="A9" s="4" t="inlineStr">
        <is>
          <t>5.</t>
        </is>
      </c>
      <c r="B9" s="5" t="inlineStr">
        <is>
          <t>Read the Dashboard: net worth, liquid net worth, debt-to-asset ratio, asset mix and the trend. It always shows the latest month you filled in.</t>
        </is>
      </c>
    </row>
    <row r="11">
      <c r="A11" s="3" t="inlineStr">
        <is>
          <t>Color key</t>
        </is>
      </c>
    </row>
    <row r="12">
      <c r="B12" s="6" t="inlineStr">
        <is>
          <t>Green cells are yours to fill in. Everything else is a formula; leave it alone.</t>
        </is>
      </c>
    </row>
    <row r="14">
      <c r="B14" s="7" t="inlineStr">
        <is>
          <t>Read the guide: Financial Defense →</t>
        </is>
      </c>
    </row>
    <row r="15">
      <c r="B15" s="2" t="inlineStr">
        <is>
          <t>Educational template only, not financial advice. No data leaves your spreadsheet.</t>
        </is>
      </c>
    </row>
  </sheetData>
  <hyperlinks>
    <hyperlink xmlns:r="http://schemas.openxmlformats.org/officeDocument/2006/relationships" ref="B14" r:id="rId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30"/>
  <sheetViews>
    <sheetView showGridLines="0" workbookViewId="0">
      <selection activeCell="A1" sqref="A1"/>
    </sheetView>
  </sheetViews>
  <sheetFormatPr baseColWidth="8" defaultRowHeight="15"/>
  <cols>
    <col width="30" customWidth="1" min="1" max="1"/>
    <col width="16" customWidth="1" min="2" max="2"/>
    <col width="10" customWidth="1" min="3" max="3"/>
    <col width="4" customWidth="1" min="4" max="4"/>
    <col width="14" customWidth="1" min="5" max="5"/>
    <col width="16" customWidth="1" min="6" max="6"/>
  </cols>
  <sheetData>
    <row r="1" ht="28" customHeight="1">
      <c r="A1" s="1" t="inlineStr">
        <is>
          <t>Dashboard</t>
        </is>
      </c>
    </row>
    <row r="2">
      <c r="A2" s="2" t="inlineStr">
        <is>
          <t>Your latest month at a glance. Nothing to enter here except monthly essentials.</t>
        </is>
      </c>
    </row>
    <row r="4">
      <c r="A4" s="8" t="inlineStr">
        <is>
          <t>Latest month</t>
        </is>
      </c>
      <c r="B4" s="9">
        <f>IFERROR(INDEX(Snapshots!$C$4:$Z$4,MATCH(2,Snapshots!$C$53:$Z$53)),"No balances yet")</f>
        <v/>
      </c>
    </row>
    <row r="6">
      <c r="A6" s="3" t="inlineStr">
        <is>
          <t>Where you stand</t>
        </is>
      </c>
      <c r="E6" s="10" t="inlineStr">
        <is>
          <t>Month</t>
        </is>
      </c>
      <c r="F6" s="11" t="inlineStr">
        <is>
          <t>Net worth</t>
        </is>
      </c>
    </row>
    <row r="7">
      <c r="A7" s="8" t="inlineStr">
        <is>
          <t>Net worth</t>
        </is>
      </c>
      <c r="B7" s="12">
        <f>IFERROR(INDEX(Snapshots!$C$49:$Z$49,MATCH(2,Snapshots!$C$53:$Z$53)),"")</f>
        <v/>
      </c>
      <c r="E7" s="13">
        <f>INDEX(Snapshots!$C$4:$Z$4,1)</f>
        <v/>
      </c>
      <c r="F7" s="14">
        <f>IF(INDEX(Snapshots!$C$53:$Z$53,1)=1,INDEX(Snapshots!$C$49:$Z$49,1),NA())</f>
        <v/>
      </c>
    </row>
    <row r="8">
      <c r="A8" s="15" t="inlineStr">
        <is>
          <t>Total assets</t>
        </is>
      </c>
      <c r="B8" s="14">
        <f>IFERROR(INDEX(Snapshots!$C$47:$Z$47,MATCH(2,Snapshots!$C$53:$Z$53)),"")</f>
        <v/>
      </c>
      <c r="E8" s="13">
        <f>INDEX(Snapshots!$C$4:$Z$4,2)</f>
        <v/>
      </c>
      <c r="F8" s="14">
        <f>IF(INDEX(Snapshots!$C$53:$Z$53,2)=1,INDEX(Snapshots!$C$49:$Z$49,2),NA())</f>
        <v/>
      </c>
    </row>
    <row r="9">
      <c r="A9" s="15" t="inlineStr">
        <is>
          <t>Total debts</t>
        </is>
      </c>
      <c r="B9" s="14">
        <f>IFERROR(INDEX(Snapshots!$C$48:$Z$48,MATCH(2,Snapshots!$C$53:$Z$53)),"")</f>
        <v/>
      </c>
      <c r="E9" s="13">
        <f>INDEX(Snapshots!$C$4:$Z$4,3)</f>
        <v/>
      </c>
      <c r="F9" s="14">
        <f>IF(INDEX(Snapshots!$C$53:$Z$53,3)=1,INDEX(Snapshots!$C$49:$Z$49,3),NA())</f>
        <v/>
      </c>
    </row>
    <row r="10">
      <c r="A10" s="8" t="inlineStr">
        <is>
          <t>Liquid net worth</t>
        </is>
      </c>
      <c r="B10" s="12">
        <f>IFERROR(INDEX(Snapshots!$C$51:$Z$51,MATCH(2,Snapshots!$C$53:$Z$53)),"")</f>
        <v/>
      </c>
      <c r="E10" s="13">
        <f>INDEX(Snapshots!$C$4:$Z$4,4)</f>
        <v/>
      </c>
      <c r="F10" s="14">
        <f>IF(INDEX(Snapshots!$C$53:$Z$53,4)=1,INDEX(Snapshots!$C$49:$Z$49,4),NA())</f>
        <v/>
      </c>
    </row>
    <row r="11">
      <c r="A11" s="15" t="inlineStr">
        <is>
          <t>Change since previous month</t>
        </is>
      </c>
      <c r="B11" s="16">
        <f>IFERROR(IF(INDEX(Snapshots!$C$53:$Z$53,MATCH(2,Snapshots!$C$53:$Z$53)-1)=1,B7-INDEX(Snapshots!$C$49:$Z$49,MATCH(2,Snapshots!$C$53:$Z$53)-1),""),"")</f>
        <v/>
      </c>
      <c r="E11" s="13">
        <f>INDEX(Snapshots!$C$4:$Z$4,5)</f>
        <v/>
      </c>
      <c r="F11" s="14">
        <f>IF(INDEX(Snapshots!$C$53:$Z$53,5)=1,INDEX(Snapshots!$C$49:$Z$49,5),NA())</f>
        <v/>
      </c>
    </row>
    <row r="12">
      <c r="A12" s="15" t="inlineStr">
        <is>
          <t>Debt-to-asset ratio</t>
        </is>
      </c>
      <c r="B12" s="17">
        <f>IF(AND(ISNUMBER(B8),B8&gt;0),B9/B8,"")</f>
        <v/>
      </c>
      <c r="E12" s="13">
        <f>INDEX(Snapshots!$C$4:$Z$4,6)</f>
        <v/>
      </c>
      <c r="F12" s="14">
        <f>IF(INDEX(Snapshots!$C$53:$Z$53,6)=1,INDEX(Snapshots!$C$49:$Z$49,6),NA())</f>
        <v/>
      </c>
    </row>
    <row r="13">
      <c r="A13" s="2" t="inlineStr">
        <is>
          <t>Liquid net worth counts cash and taxable investing, minus all debts.</t>
        </is>
      </c>
      <c r="E13" s="13">
        <f>INDEX(Snapshots!$C$4:$Z$4,7)</f>
        <v/>
      </c>
      <c r="F13" s="14">
        <f>IF(INDEX(Snapshots!$C$53:$Z$53,7)=1,INDEX(Snapshots!$C$49:$Z$49,7),NA())</f>
        <v/>
      </c>
    </row>
    <row r="14">
      <c r="E14" s="13">
        <f>INDEX(Snapshots!$C$4:$Z$4,8)</f>
        <v/>
      </c>
      <c r="F14" s="14">
        <f>IF(INDEX(Snapshots!$C$53:$Z$53,8)=1,INDEX(Snapshots!$C$49:$Z$49,8),NA())</f>
        <v/>
      </c>
    </row>
    <row r="15">
      <c r="A15" s="3" t="inlineStr">
        <is>
          <t>Emergency reserve</t>
        </is>
      </c>
      <c r="E15" s="13">
        <f>INDEX(Snapshots!$C$4:$Z$4,9)</f>
        <v/>
      </c>
      <c r="F15" s="14">
        <f>IF(INDEX(Snapshots!$C$53:$Z$53,9)=1,INDEX(Snapshots!$C$49:$Z$49,9),NA())</f>
        <v/>
      </c>
    </row>
    <row r="16">
      <c r="A16" s="15" t="inlineStr">
        <is>
          <t>Monthly essential expenses</t>
        </is>
      </c>
      <c r="B16" s="18" t="n"/>
      <c r="E16" s="13">
        <f>INDEX(Snapshots!$C$4:$Z$4,10)</f>
        <v/>
      </c>
      <c r="F16" s="14">
        <f>IF(INDEX(Snapshots!$C$53:$Z$53,10)=1,INDEX(Snapshots!$C$49:$Z$49,10),NA())</f>
        <v/>
      </c>
    </row>
    <row r="17">
      <c r="A17" s="15" t="inlineStr">
        <is>
          <t>Cash on hand</t>
        </is>
      </c>
      <c r="B17" s="19">
        <f>IFERROR(INDEX(Snapshots!$C$52:$Z$52,MATCH(2,Snapshots!$C$53:$Z$53)),"")</f>
        <v/>
      </c>
      <c r="E17" s="13">
        <f>INDEX(Snapshots!$C$4:$Z$4,11)</f>
        <v/>
      </c>
      <c r="F17" s="14">
        <f>IF(INDEX(Snapshots!$C$53:$Z$53,11)=1,INDEX(Snapshots!$C$49:$Z$49,11),NA())</f>
        <v/>
      </c>
    </row>
    <row r="18">
      <c r="A18" s="8" t="inlineStr">
        <is>
          <t>Months of expenses covered</t>
        </is>
      </c>
      <c r="B18" s="20">
        <f>IF(AND(ISNUMBER(B16),B16&gt;0,ISNUMBER(B17)),B17/B16,"")</f>
        <v/>
      </c>
      <c r="E18" s="13">
        <f>INDEX(Snapshots!$C$4:$Z$4,12)</f>
        <v/>
      </c>
      <c r="F18" s="14">
        <f>IF(INDEX(Snapshots!$C$53:$Z$53,12)=1,INDEX(Snapshots!$C$49:$Z$49,12),NA())</f>
        <v/>
      </c>
    </row>
    <row r="19">
      <c r="A19" s="7" t="inlineStr">
        <is>
          <t>Size your target with the Emergency Reserve calculator in section 1.</t>
        </is>
      </c>
      <c r="E19" s="13">
        <f>INDEX(Snapshots!$C$4:$Z$4,13)</f>
        <v/>
      </c>
      <c r="F19" s="14">
        <f>IF(INDEX(Snapshots!$C$53:$Z$53,13)=1,INDEX(Snapshots!$C$49:$Z$49,13),NA())</f>
        <v/>
      </c>
    </row>
    <row r="20">
      <c r="E20" s="13">
        <f>INDEX(Snapshots!$C$4:$Z$4,14)</f>
        <v/>
      </c>
      <c r="F20" s="14">
        <f>IF(INDEX(Snapshots!$C$53:$Z$53,14)=1,INDEX(Snapshots!$C$49:$Z$49,14),NA())</f>
        <v/>
      </c>
    </row>
    <row r="21">
      <c r="A21" s="3" t="inlineStr">
        <is>
          <t>Asset mix (latest month)</t>
        </is>
      </c>
      <c r="E21" s="13">
        <f>INDEX(Snapshots!$C$4:$Z$4,15)</f>
        <v/>
      </c>
      <c r="F21" s="14">
        <f>IF(INDEX(Snapshots!$C$53:$Z$53,15)=1,INDEX(Snapshots!$C$49:$Z$49,15),NA())</f>
        <v/>
      </c>
    </row>
    <row r="22">
      <c r="A22" s="10" t="inlineStr">
        <is>
          <t>Type</t>
        </is>
      </c>
      <c r="B22" s="11" t="inlineStr">
        <is>
          <t>Balance</t>
        </is>
      </c>
      <c r="C22" s="11" t="inlineStr">
        <is>
          <t>Share</t>
        </is>
      </c>
      <c r="E22" s="13">
        <f>INDEX(Snapshots!$C$4:$Z$4,16)</f>
        <v/>
      </c>
      <c r="F22" s="14">
        <f>IF(INDEX(Snapshots!$C$53:$Z$53,16)=1,INDEX(Snapshots!$C$49:$Z$49,16),NA())</f>
        <v/>
      </c>
    </row>
    <row r="23">
      <c r="A23" s="15" t="inlineStr">
        <is>
          <t>Cash</t>
        </is>
      </c>
      <c r="B23" s="19">
        <f>IFERROR(SUMIFS(INDEX(Snapshots!$C$5:$Z$44,0,MATCH(2,Snapshots!$C$53:$Z$53)),Accounts!$B$5:$B$44,A23),"")</f>
        <v/>
      </c>
      <c r="C23" s="17">
        <f>IF(AND(ISNUMBER(B23),ISNUMBER($B$8),$B$8&gt;0),B23/$B$8,"")</f>
        <v/>
      </c>
      <c r="E23" s="13">
        <f>INDEX(Snapshots!$C$4:$Z$4,17)</f>
        <v/>
      </c>
      <c r="F23" s="14">
        <f>IF(INDEX(Snapshots!$C$53:$Z$53,17)=1,INDEX(Snapshots!$C$49:$Z$49,17),NA())</f>
        <v/>
      </c>
    </row>
    <row r="24">
      <c r="A24" s="15" t="inlineStr">
        <is>
          <t>Taxable investing</t>
        </is>
      </c>
      <c r="B24" s="19">
        <f>IFERROR(SUMIFS(INDEX(Snapshots!$C$5:$Z$44,0,MATCH(2,Snapshots!$C$53:$Z$53)),Accounts!$B$5:$B$44,A24),"")</f>
        <v/>
      </c>
      <c r="C24" s="17">
        <f>IF(AND(ISNUMBER(B24),ISNUMBER($B$8),$B$8&gt;0),B24/$B$8,"")</f>
        <v/>
      </c>
      <c r="E24" s="13">
        <f>INDEX(Snapshots!$C$4:$Z$4,18)</f>
        <v/>
      </c>
      <c r="F24" s="14">
        <f>IF(INDEX(Snapshots!$C$53:$Z$53,18)=1,INDEX(Snapshots!$C$49:$Z$49,18),NA())</f>
        <v/>
      </c>
    </row>
    <row r="25">
      <c r="A25" s="15" t="inlineStr">
        <is>
          <t>Retirement</t>
        </is>
      </c>
      <c r="B25" s="19">
        <f>IFERROR(SUMIFS(INDEX(Snapshots!$C$5:$Z$44,0,MATCH(2,Snapshots!$C$53:$Z$53)),Accounts!$B$5:$B$44,A25),"")</f>
        <v/>
      </c>
      <c r="C25" s="17">
        <f>IF(AND(ISNUMBER(B25),ISNUMBER($B$8),$B$8&gt;0),B25/$B$8,"")</f>
        <v/>
      </c>
      <c r="E25" s="13">
        <f>INDEX(Snapshots!$C$4:$Z$4,19)</f>
        <v/>
      </c>
      <c r="F25" s="14">
        <f>IF(INDEX(Snapshots!$C$53:$Z$53,19)=1,INDEX(Snapshots!$C$49:$Z$49,19),NA())</f>
        <v/>
      </c>
    </row>
    <row r="26">
      <c r="A26" s="15" t="inlineStr">
        <is>
          <t>HSA</t>
        </is>
      </c>
      <c r="B26" s="19">
        <f>IFERROR(SUMIFS(INDEX(Snapshots!$C$5:$Z$44,0,MATCH(2,Snapshots!$C$53:$Z$53)),Accounts!$B$5:$B$44,A26),"")</f>
        <v/>
      </c>
      <c r="C26" s="17">
        <f>IF(AND(ISNUMBER(B26),ISNUMBER($B$8),$B$8&gt;0),B26/$B$8,"")</f>
        <v/>
      </c>
      <c r="E26" s="13">
        <f>INDEX(Snapshots!$C$4:$Z$4,20)</f>
        <v/>
      </c>
      <c r="F26" s="14">
        <f>IF(INDEX(Snapshots!$C$53:$Z$53,20)=1,INDEX(Snapshots!$C$49:$Z$49,20),NA())</f>
        <v/>
      </c>
    </row>
    <row r="27">
      <c r="A27" s="15" t="inlineStr">
        <is>
          <t>Real estate</t>
        </is>
      </c>
      <c r="B27" s="19">
        <f>IFERROR(SUMIFS(INDEX(Snapshots!$C$5:$Z$44,0,MATCH(2,Snapshots!$C$53:$Z$53)),Accounts!$B$5:$B$44,A27),"")</f>
        <v/>
      </c>
      <c r="C27" s="17">
        <f>IF(AND(ISNUMBER(B27),ISNUMBER($B$8),$B$8&gt;0),B27/$B$8,"")</f>
        <v/>
      </c>
      <c r="E27" s="13">
        <f>INDEX(Snapshots!$C$4:$Z$4,21)</f>
        <v/>
      </c>
      <c r="F27" s="14">
        <f>IF(INDEX(Snapshots!$C$53:$Z$53,21)=1,INDEX(Snapshots!$C$49:$Z$49,21),NA())</f>
        <v/>
      </c>
    </row>
    <row r="28">
      <c r="A28" s="15" t="inlineStr">
        <is>
          <t>Vehicle</t>
        </is>
      </c>
      <c r="B28" s="19">
        <f>IFERROR(SUMIFS(INDEX(Snapshots!$C$5:$Z$44,0,MATCH(2,Snapshots!$C$53:$Z$53)),Accounts!$B$5:$B$44,A28),"")</f>
        <v/>
      </c>
      <c r="C28" s="17">
        <f>IF(AND(ISNUMBER(B28),ISNUMBER($B$8),$B$8&gt;0),B28/$B$8,"")</f>
        <v/>
      </c>
      <c r="E28" s="13">
        <f>INDEX(Snapshots!$C$4:$Z$4,22)</f>
        <v/>
      </c>
      <c r="F28" s="14">
        <f>IF(INDEX(Snapshots!$C$53:$Z$53,22)=1,INDEX(Snapshots!$C$49:$Z$49,22),NA())</f>
        <v/>
      </c>
    </row>
    <row r="29">
      <c r="A29" s="15" t="inlineStr">
        <is>
          <t>Other asset</t>
        </is>
      </c>
      <c r="B29" s="19">
        <f>IFERROR(SUMIFS(INDEX(Snapshots!$C$5:$Z$44,0,MATCH(2,Snapshots!$C$53:$Z$53)),Accounts!$B$5:$B$44,A29),"")</f>
        <v/>
      </c>
      <c r="C29" s="17">
        <f>IF(AND(ISNUMBER(B29),ISNUMBER($B$8),$B$8&gt;0),B29/$B$8,"")</f>
        <v/>
      </c>
      <c r="E29" s="13">
        <f>INDEX(Snapshots!$C$4:$Z$4,23)</f>
        <v/>
      </c>
      <c r="F29" s="14">
        <f>IF(INDEX(Snapshots!$C$53:$Z$53,23)=1,INDEX(Snapshots!$C$49:$Z$49,23),NA())</f>
        <v/>
      </c>
    </row>
    <row r="30">
      <c r="E30" s="13">
        <f>INDEX(Snapshots!$C$4:$Z$4,24)</f>
        <v/>
      </c>
      <c r="F30" s="14">
        <f>IF(INDEX(Snapshots!$C$53:$Z$53,24)=1,INDEX(Snapshots!$C$49:$Z$49,24),NA())</f>
        <v/>
      </c>
    </row>
  </sheetData>
  <conditionalFormatting sqref="F7:F30">
    <cfRule type="expression" priority="1" dxfId="0">
      <formula>ISERROR(F7)</formula>
    </cfRule>
  </conditionalFormatting>
  <hyperlinks>
    <hyperlink xmlns:r="http://schemas.openxmlformats.org/officeDocument/2006/relationships" ref="A19" r:id="rId1"/>
  </hyperlinks>
  <pageMargins left="0.75" right="0.75" top="1" bottom="1" header="0.5" footer="0.5"/>
  <pageSetup orientation="landscape" fitToHeight="0" fitToWidth="1"/>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E46"/>
  <sheetViews>
    <sheetView workbookViewId="0">
      <pane ySplit="4" topLeftCell="A5" activePane="bottomLeft" state="frozen"/>
      <selection pane="bottomLeft" activeCell="A1" sqref="A1"/>
    </sheetView>
  </sheetViews>
  <sheetFormatPr baseColWidth="8" defaultRowHeight="15"/>
  <cols>
    <col width="28" customWidth="1" min="1" max="1"/>
    <col width="20" customWidth="1" min="2" max="2"/>
    <col width="10" customWidth="1" min="3" max="3"/>
    <col width="10" customWidth="1" min="4" max="4"/>
    <col width="36" customWidth="1" min="5" max="5"/>
  </cols>
  <sheetData>
    <row r="1" ht="28" customHeight="1">
      <c r="A1" s="1" t="inlineStr">
        <is>
          <t>Accounts</t>
        </is>
      </c>
    </row>
    <row r="2">
      <c r="A2" s="2" t="inlineStr">
        <is>
          <t>List every asset and debt once. Balances go on the Snapshots tab.</t>
        </is>
      </c>
    </row>
    <row r="4">
      <c r="A4" s="10" t="inlineStr">
        <is>
          <t>Account</t>
        </is>
      </c>
      <c r="B4" s="11" t="inlineStr">
        <is>
          <t>Type</t>
        </is>
      </c>
      <c r="C4" s="11" t="inlineStr">
        <is>
          <t>Kind</t>
        </is>
      </c>
      <c r="D4" s="11" t="inlineStr">
        <is>
          <t>Liquid</t>
        </is>
      </c>
      <c r="E4" s="11" t="inlineStr">
        <is>
          <t>Notes</t>
        </is>
      </c>
    </row>
    <row r="5">
      <c r="A5" s="6" t="inlineStr">
        <is>
          <t>Checking</t>
        </is>
      </c>
      <c r="B5" s="6" t="inlineStr">
        <is>
          <t>Cash</t>
        </is>
      </c>
      <c r="C5" s="21">
        <f>IF(B5="","",VLOOKUP(B5,Lists!$A$5:$C$16,2,FALSE))</f>
        <v/>
      </c>
      <c r="D5" s="21">
        <f>IF(B5="","",IF(VLOOKUP(B5,Lists!$A$5:$C$16,3,FALSE)="Yes","Yes",""))</f>
        <v/>
      </c>
      <c r="E5" s="6" t="n"/>
    </row>
    <row r="6">
      <c r="A6" s="6" t="inlineStr">
        <is>
          <t>High-yield savings</t>
        </is>
      </c>
      <c r="B6" s="6" t="inlineStr">
        <is>
          <t>Cash</t>
        </is>
      </c>
      <c r="C6" s="21">
        <f>IF(B6="","",VLOOKUP(B6,Lists!$A$5:$C$16,2,FALSE))</f>
        <v/>
      </c>
      <c r="D6" s="21">
        <f>IF(B6="","",IF(VLOOKUP(B6,Lists!$A$5:$C$16,3,FALSE)="Yes","Yes",""))</f>
        <v/>
      </c>
      <c r="E6" s="6" t="n"/>
    </row>
    <row r="7">
      <c r="A7" s="6" t="inlineStr">
        <is>
          <t>Brokerage</t>
        </is>
      </c>
      <c r="B7" s="6" t="inlineStr">
        <is>
          <t>Taxable investing</t>
        </is>
      </c>
      <c r="C7" s="21">
        <f>IF(B7="","",VLOOKUP(B7,Lists!$A$5:$C$16,2,FALSE))</f>
        <v/>
      </c>
      <c r="D7" s="21">
        <f>IF(B7="","",IF(VLOOKUP(B7,Lists!$A$5:$C$16,3,FALSE)="Yes","Yes",""))</f>
        <v/>
      </c>
      <c r="E7" s="6" t="n"/>
    </row>
    <row r="8">
      <c r="A8" s="6" t="inlineStr">
        <is>
          <t>401(k)</t>
        </is>
      </c>
      <c r="B8" s="6" t="inlineStr">
        <is>
          <t>Retirement</t>
        </is>
      </c>
      <c r="C8" s="21">
        <f>IF(B8="","",VLOOKUP(B8,Lists!$A$5:$C$16,2,FALSE))</f>
        <v/>
      </c>
      <c r="D8" s="21">
        <f>IF(B8="","",IF(VLOOKUP(B8,Lists!$A$5:$C$16,3,FALSE)="Yes","Yes",""))</f>
        <v/>
      </c>
      <c r="E8" s="6" t="n"/>
    </row>
    <row r="9">
      <c r="A9" s="6" t="inlineStr">
        <is>
          <t>Roth IRA</t>
        </is>
      </c>
      <c r="B9" s="6" t="inlineStr">
        <is>
          <t>Retirement</t>
        </is>
      </c>
      <c r="C9" s="21">
        <f>IF(B9="","",VLOOKUP(B9,Lists!$A$5:$C$16,2,FALSE))</f>
        <v/>
      </c>
      <c r="D9" s="21">
        <f>IF(B9="","",IF(VLOOKUP(B9,Lists!$A$5:$C$16,3,FALSE)="Yes","Yes",""))</f>
        <v/>
      </c>
      <c r="E9" s="6" t="n"/>
    </row>
    <row r="10">
      <c r="A10" s="6" t="inlineStr">
        <is>
          <t>HSA</t>
        </is>
      </c>
      <c r="B10" s="6" t="inlineStr">
        <is>
          <t>HSA</t>
        </is>
      </c>
      <c r="C10" s="21">
        <f>IF(B10="","",VLOOKUP(B10,Lists!$A$5:$C$16,2,FALSE))</f>
        <v/>
      </c>
      <c r="D10" s="21">
        <f>IF(B10="","",IF(VLOOKUP(B10,Lists!$A$5:$C$16,3,FALSE)="Yes","Yes",""))</f>
        <v/>
      </c>
      <c r="E10" s="6" t="n"/>
    </row>
    <row r="11">
      <c r="A11" s="6" t="inlineStr">
        <is>
          <t>Home</t>
        </is>
      </c>
      <c r="B11" s="6" t="inlineStr">
        <is>
          <t>Real estate</t>
        </is>
      </c>
      <c r="C11" s="21">
        <f>IF(B11="","",VLOOKUP(B11,Lists!$A$5:$C$16,2,FALSE))</f>
        <v/>
      </c>
      <c r="D11" s="21">
        <f>IF(B11="","",IF(VLOOKUP(B11,Lists!$A$5:$C$16,3,FALSE)="Yes","Yes",""))</f>
        <v/>
      </c>
      <c r="E11" s="6" t="n"/>
    </row>
    <row r="12">
      <c r="A12" s="6" t="inlineStr">
        <is>
          <t>Car</t>
        </is>
      </c>
      <c r="B12" s="6" t="inlineStr">
        <is>
          <t>Vehicle</t>
        </is>
      </c>
      <c r="C12" s="21">
        <f>IF(B12="","",VLOOKUP(B12,Lists!$A$5:$C$16,2,FALSE))</f>
        <v/>
      </c>
      <c r="D12" s="21">
        <f>IF(B12="","",IF(VLOOKUP(B12,Lists!$A$5:$C$16,3,FALSE)="Yes","Yes",""))</f>
        <v/>
      </c>
      <c r="E12" s="6" t="n"/>
    </row>
    <row r="13">
      <c r="A13" s="6" t="inlineStr">
        <is>
          <t>Mortgage</t>
        </is>
      </c>
      <c r="B13" s="6" t="inlineStr">
        <is>
          <t>Mortgage</t>
        </is>
      </c>
      <c r="C13" s="21">
        <f>IF(B13="","",VLOOKUP(B13,Lists!$A$5:$C$16,2,FALSE))</f>
        <v/>
      </c>
      <c r="D13" s="21">
        <f>IF(B13="","",IF(VLOOKUP(B13,Lists!$A$5:$C$16,3,FALSE)="Yes","Yes",""))</f>
        <v/>
      </c>
      <c r="E13" s="6" t="n"/>
    </row>
    <row r="14">
      <c r="A14" s="6" t="inlineStr">
        <is>
          <t>Auto loan</t>
        </is>
      </c>
      <c r="B14" s="6" t="inlineStr">
        <is>
          <t>Auto loan</t>
        </is>
      </c>
      <c r="C14" s="21">
        <f>IF(B14="","",VLOOKUP(B14,Lists!$A$5:$C$16,2,FALSE))</f>
        <v/>
      </c>
      <c r="D14" s="21">
        <f>IF(B14="","",IF(VLOOKUP(B14,Lists!$A$5:$C$16,3,FALSE)="Yes","Yes",""))</f>
        <v/>
      </c>
      <c r="E14" s="6" t="n"/>
    </row>
    <row r="15">
      <c r="A15" s="6" t="inlineStr">
        <is>
          <t>Student loan</t>
        </is>
      </c>
      <c r="B15" s="6" t="inlineStr">
        <is>
          <t>Student loan</t>
        </is>
      </c>
      <c r="C15" s="21">
        <f>IF(B15="","",VLOOKUP(B15,Lists!$A$5:$C$16,2,FALSE))</f>
        <v/>
      </c>
      <c r="D15" s="21">
        <f>IF(B15="","",IF(VLOOKUP(B15,Lists!$A$5:$C$16,3,FALSE)="Yes","Yes",""))</f>
        <v/>
      </c>
      <c r="E15" s="6" t="n"/>
    </row>
    <row r="16">
      <c r="A16" s="6" t="inlineStr">
        <is>
          <t>Credit card</t>
        </is>
      </c>
      <c r="B16" s="6" t="inlineStr">
        <is>
          <t>Credit card</t>
        </is>
      </c>
      <c r="C16" s="21">
        <f>IF(B16="","",VLOOKUP(B16,Lists!$A$5:$C$16,2,FALSE))</f>
        <v/>
      </c>
      <c r="D16" s="21">
        <f>IF(B16="","",IF(VLOOKUP(B16,Lists!$A$5:$C$16,3,FALSE)="Yes","Yes",""))</f>
        <v/>
      </c>
      <c r="E16" s="6" t="n"/>
    </row>
    <row r="17">
      <c r="A17" s="6" t="n"/>
      <c r="B17" s="6" t="n"/>
      <c r="C17" s="21">
        <f>IF(B17="","",VLOOKUP(B17,Lists!$A$5:$C$16,2,FALSE))</f>
        <v/>
      </c>
      <c r="D17" s="21">
        <f>IF(B17="","",IF(VLOOKUP(B17,Lists!$A$5:$C$16,3,FALSE)="Yes","Yes",""))</f>
        <v/>
      </c>
      <c r="E17" s="6" t="n"/>
    </row>
    <row r="18">
      <c r="A18" s="6" t="n"/>
      <c r="B18" s="6" t="n"/>
      <c r="C18" s="21">
        <f>IF(B18="","",VLOOKUP(B18,Lists!$A$5:$C$16,2,FALSE))</f>
        <v/>
      </c>
      <c r="D18" s="21">
        <f>IF(B18="","",IF(VLOOKUP(B18,Lists!$A$5:$C$16,3,FALSE)="Yes","Yes",""))</f>
        <v/>
      </c>
      <c r="E18" s="6" t="n"/>
    </row>
    <row r="19">
      <c r="A19" s="6" t="n"/>
      <c r="B19" s="6" t="n"/>
      <c r="C19" s="21">
        <f>IF(B19="","",VLOOKUP(B19,Lists!$A$5:$C$16,2,FALSE))</f>
        <v/>
      </c>
      <c r="D19" s="21">
        <f>IF(B19="","",IF(VLOOKUP(B19,Lists!$A$5:$C$16,3,FALSE)="Yes","Yes",""))</f>
        <v/>
      </c>
      <c r="E19" s="6" t="n"/>
    </row>
    <row r="20">
      <c r="A20" s="6" t="n"/>
      <c r="B20" s="6" t="n"/>
      <c r="C20" s="21">
        <f>IF(B20="","",VLOOKUP(B20,Lists!$A$5:$C$16,2,FALSE))</f>
        <v/>
      </c>
      <c r="D20" s="21">
        <f>IF(B20="","",IF(VLOOKUP(B20,Lists!$A$5:$C$16,3,FALSE)="Yes","Yes",""))</f>
        <v/>
      </c>
      <c r="E20" s="6" t="n"/>
    </row>
    <row r="21">
      <c r="A21" s="6" t="n"/>
      <c r="B21" s="6" t="n"/>
      <c r="C21" s="21">
        <f>IF(B21="","",VLOOKUP(B21,Lists!$A$5:$C$16,2,FALSE))</f>
        <v/>
      </c>
      <c r="D21" s="21">
        <f>IF(B21="","",IF(VLOOKUP(B21,Lists!$A$5:$C$16,3,FALSE)="Yes","Yes",""))</f>
        <v/>
      </c>
      <c r="E21" s="6" t="n"/>
    </row>
    <row r="22">
      <c r="A22" s="6" t="n"/>
      <c r="B22" s="6" t="n"/>
      <c r="C22" s="21">
        <f>IF(B22="","",VLOOKUP(B22,Lists!$A$5:$C$16,2,FALSE))</f>
        <v/>
      </c>
      <c r="D22" s="21">
        <f>IF(B22="","",IF(VLOOKUP(B22,Lists!$A$5:$C$16,3,FALSE)="Yes","Yes",""))</f>
        <v/>
      </c>
      <c r="E22" s="6" t="n"/>
    </row>
    <row r="23">
      <c r="A23" s="6" t="n"/>
      <c r="B23" s="6" t="n"/>
      <c r="C23" s="21">
        <f>IF(B23="","",VLOOKUP(B23,Lists!$A$5:$C$16,2,FALSE))</f>
        <v/>
      </c>
      <c r="D23" s="21">
        <f>IF(B23="","",IF(VLOOKUP(B23,Lists!$A$5:$C$16,3,FALSE)="Yes","Yes",""))</f>
        <v/>
      </c>
      <c r="E23" s="6" t="n"/>
    </row>
    <row r="24">
      <c r="A24" s="6" t="n"/>
      <c r="B24" s="6" t="n"/>
      <c r="C24" s="21">
        <f>IF(B24="","",VLOOKUP(B24,Lists!$A$5:$C$16,2,FALSE))</f>
        <v/>
      </c>
      <c r="D24" s="21">
        <f>IF(B24="","",IF(VLOOKUP(B24,Lists!$A$5:$C$16,3,FALSE)="Yes","Yes",""))</f>
        <v/>
      </c>
      <c r="E24" s="6" t="n"/>
    </row>
    <row r="25">
      <c r="A25" s="6" t="n"/>
      <c r="B25" s="6" t="n"/>
      <c r="C25" s="21">
        <f>IF(B25="","",VLOOKUP(B25,Lists!$A$5:$C$16,2,FALSE))</f>
        <v/>
      </c>
      <c r="D25" s="21">
        <f>IF(B25="","",IF(VLOOKUP(B25,Lists!$A$5:$C$16,3,FALSE)="Yes","Yes",""))</f>
        <v/>
      </c>
      <c r="E25" s="6" t="n"/>
    </row>
    <row r="26">
      <c r="A26" s="6" t="n"/>
      <c r="B26" s="6" t="n"/>
      <c r="C26" s="21">
        <f>IF(B26="","",VLOOKUP(B26,Lists!$A$5:$C$16,2,FALSE))</f>
        <v/>
      </c>
      <c r="D26" s="21">
        <f>IF(B26="","",IF(VLOOKUP(B26,Lists!$A$5:$C$16,3,FALSE)="Yes","Yes",""))</f>
        <v/>
      </c>
      <c r="E26" s="6" t="n"/>
    </row>
    <row r="27">
      <c r="A27" s="6" t="n"/>
      <c r="B27" s="6" t="n"/>
      <c r="C27" s="21">
        <f>IF(B27="","",VLOOKUP(B27,Lists!$A$5:$C$16,2,FALSE))</f>
        <v/>
      </c>
      <c r="D27" s="21">
        <f>IF(B27="","",IF(VLOOKUP(B27,Lists!$A$5:$C$16,3,FALSE)="Yes","Yes",""))</f>
        <v/>
      </c>
      <c r="E27" s="6" t="n"/>
    </row>
    <row r="28">
      <c r="A28" s="6" t="n"/>
      <c r="B28" s="6" t="n"/>
      <c r="C28" s="21">
        <f>IF(B28="","",VLOOKUP(B28,Lists!$A$5:$C$16,2,FALSE))</f>
        <v/>
      </c>
      <c r="D28" s="21">
        <f>IF(B28="","",IF(VLOOKUP(B28,Lists!$A$5:$C$16,3,FALSE)="Yes","Yes",""))</f>
        <v/>
      </c>
      <c r="E28" s="6" t="n"/>
    </row>
    <row r="29">
      <c r="A29" s="6" t="n"/>
      <c r="B29" s="6" t="n"/>
      <c r="C29" s="21">
        <f>IF(B29="","",VLOOKUP(B29,Lists!$A$5:$C$16,2,FALSE))</f>
        <v/>
      </c>
      <c r="D29" s="21">
        <f>IF(B29="","",IF(VLOOKUP(B29,Lists!$A$5:$C$16,3,FALSE)="Yes","Yes",""))</f>
        <v/>
      </c>
      <c r="E29" s="6" t="n"/>
    </row>
    <row r="30">
      <c r="A30" s="6" t="n"/>
      <c r="B30" s="6" t="n"/>
      <c r="C30" s="21">
        <f>IF(B30="","",VLOOKUP(B30,Lists!$A$5:$C$16,2,FALSE))</f>
        <v/>
      </c>
      <c r="D30" s="21">
        <f>IF(B30="","",IF(VLOOKUP(B30,Lists!$A$5:$C$16,3,FALSE)="Yes","Yes",""))</f>
        <v/>
      </c>
      <c r="E30" s="6" t="n"/>
    </row>
    <row r="31">
      <c r="A31" s="6" t="n"/>
      <c r="B31" s="6" t="n"/>
      <c r="C31" s="21">
        <f>IF(B31="","",VLOOKUP(B31,Lists!$A$5:$C$16,2,FALSE))</f>
        <v/>
      </c>
      <c r="D31" s="21">
        <f>IF(B31="","",IF(VLOOKUP(B31,Lists!$A$5:$C$16,3,FALSE)="Yes","Yes",""))</f>
        <v/>
      </c>
      <c r="E31" s="6" t="n"/>
    </row>
    <row r="32">
      <c r="A32" s="6" t="n"/>
      <c r="B32" s="6" t="n"/>
      <c r="C32" s="21">
        <f>IF(B32="","",VLOOKUP(B32,Lists!$A$5:$C$16,2,FALSE))</f>
        <v/>
      </c>
      <c r="D32" s="21">
        <f>IF(B32="","",IF(VLOOKUP(B32,Lists!$A$5:$C$16,3,FALSE)="Yes","Yes",""))</f>
        <v/>
      </c>
      <c r="E32" s="6" t="n"/>
    </row>
    <row r="33">
      <c r="A33" s="6" t="n"/>
      <c r="B33" s="6" t="n"/>
      <c r="C33" s="21">
        <f>IF(B33="","",VLOOKUP(B33,Lists!$A$5:$C$16,2,FALSE))</f>
        <v/>
      </c>
      <c r="D33" s="21">
        <f>IF(B33="","",IF(VLOOKUP(B33,Lists!$A$5:$C$16,3,FALSE)="Yes","Yes",""))</f>
        <v/>
      </c>
      <c r="E33" s="6" t="n"/>
    </row>
    <row r="34">
      <c r="A34" s="6" t="n"/>
      <c r="B34" s="6" t="n"/>
      <c r="C34" s="21">
        <f>IF(B34="","",VLOOKUP(B34,Lists!$A$5:$C$16,2,FALSE))</f>
        <v/>
      </c>
      <c r="D34" s="21">
        <f>IF(B34="","",IF(VLOOKUP(B34,Lists!$A$5:$C$16,3,FALSE)="Yes","Yes",""))</f>
        <v/>
      </c>
      <c r="E34" s="6" t="n"/>
    </row>
    <row r="35">
      <c r="A35" s="6" t="n"/>
      <c r="B35" s="6" t="n"/>
      <c r="C35" s="21">
        <f>IF(B35="","",VLOOKUP(B35,Lists!$A$5:$C$16,2,FALSE))</f>
        <v/>
      </c>
      <c r="D35" s="21">
        <f>IF(B35="","",IF(VLOOKUP(B35,Lists!$A$5:$C$16,3,FALSE)="Yes","Yes",""))</f>
        <v/>
      </c>
      <c r="E35" s="6" t="n"/>
    </row>
    <row r="36">
      <c r="A36" s="6" t="n"/>
      <c r="B36" s="6" t="n"/>
      <c r="C36" s="21">
        <f>IF(B36="","",VLOOKUP(B36,Lists!$A$5:$C$16,2,FALSE))</f>
        <v/>
      </c>
      <c r="D36" s="21">
        <f>IF(B36="","",IF(VLOOKUP(B36,Lists!$A$5:$C$16,3,FALSE)="Yes","Yes",""))</f>
        <v/>
      </c>
      <c r="E36" s="6" t="n"/>
    </row>
    <row r="37">
      <c r="A37" s="6" t="n"/>
      <c r="B37" s="6" t="n"/>
      <c r="C37" s="21">
        <f>IF(B37="","",VLOOKUP(B37,Lists!$A$5:$C$16,2,FALSE))</f>
        <v/>
      </c>
      <c r="D37" s="21">
        <f>IF(B37="","",IF(VLOOKUP(B37,Lists!$A$5:$C$16,3,FALSE)="Yes","Yes",""))</f>
        <v/>
      </c>
      <c r="E37" s="6" t="n"/>
    </row>
    <row r="38">
      <c r="A38" s="6" t="n"/>
      <c r="B38" s="6" t="n"/>
      <c r="C38" s="21">
        <f>IF(B38="","",VLOOKUP(B38,Lists!$A$5:$C$16,2,FALSE))</f>
        <v/>
      </c>
      <c r="D38" s="21">
        <f>IF(B38="","",IF(VLOOKUP(B38,Lists!$A$5:$C$16,3,FALSE)="Yes","Yes",""))</f>
        <v/>
      </c>
      <c r="E38" s="6" t="n"/>
    </row>
    <row r="39">
      <c r="A39" s="6" t="n"/>
      <c r="B39" s="6" t="n"/>
      <c r="C39" s="21">
        <f>IF(B39="","",VLOOKUP(B39,Lists!$A$5:$C$16,2,FALSE))</f>
        <v/>
      </c>
      <c r="D39" s="21">
        <f>IF(B39="","",IF(VLOOKUP(B39,Lists!$A$5:$C$16,3,FALSE)="Yes","Yes",""))</f>
        <v/>
      </c>
      <c r="E39" s="6" t="n"/>
    </row>
    <row r="40">
      <c r="A40" s="6" t="n"/>
      <c r="B40" s="6" t="n"/>
      <c r="C40" s="21">
        <f>IF(B40="","",VLOOKUP(B40,Lists!$A$5:$C$16,2,FALSE))</f>
        <v/>
      </c>
      <c r="D40" s="21">
        <f>IF(B40="","",IF(VLOOKUP(B40,Lists!$A$5:$C$16,3,FALSE)="Yes","Yes",""))</f>
        <v/>
      </c>
      <c r="E40" s="6" t="n"/>
    </row>
    <row r="41">
      <c r="A41" s="6" t="n"/>
      <c r="B41" s="6" t="n"/>
      <c r="C41" s="21">
        <f>IF(B41="","",VLOOKUP(B41,Lists!$A$5:$C$16,2,FALSE))</f>
        <v/>
      </c>
      <c r="D41" s="21">
        <f>IF(B41="","",IF(VLOOKUP(B41,Lists!$A$5:$C$16,3,FALSE)="Yes","Yes",""))</f>
        <v/>
      </c>
      <c r="E41" s="6" t="n"/>
    </row>
    <row r="42">
      <c r="A42" s="6" t="n"/>
      <c r="B42" s="6" t="n"/>
      <c r="C42" s="21">
        <f>IF(B42="","",VLOOKUP(B42,Lists!$A$5:$C$16,2,FALSE))</f>
        <v/>
      </c>
      <c r="D42" s="21">
        <f>IF(B42="","",IF(VLOOKUP(B42,Lists!$A$5:$C$16,3,FALSE)="Yes","Yes",""))</f>
        <v/>
      </c>
      <c r="E42" s="6" t="n"/>
    </row>
    <row r="43">
      <c r="A43" s="6" t="n"/>
      <c r="B43" s="6" t="n"/>
      <c r="C43" s="21">
        <f>IF(B43="","",VLOOKUP(B43,Lists!$A$5:$C$16,2,FALSE))</f>
        <v/>
      </c>
      <c r="D43" s="21">
        <f>IF(B43="","",IF(VLOOKUP(B43,Lists!$A$5:$C$16,3,FALSE)="Yes","Yes",""))</f>
        <v/>
      </c>
      <c r="E43" s="6" t="n"/>
    </row>
    <row r="44">
      <c r="A44" s="6" t="n"/>
      <c r="B44" s="6" t="n"/>
      <c r="C44" s="21">
        <f>IF(B44="","",VLOOKUP(B44,Lists!$A$5:$C$16,2,FALSE))</f>
        <v/>
      </c>
      <c r="D44" s="21">
        <f>IF(B44="","",IF(VLOOKUP(B44,Lists!$A$5:$C$16,3,FALSE)="Yes","Yes",""))</f>
        <v/>
      </c>
      <c r="E44" s="6" t="n"/>
    </row>
    <row r="46">
      <c r="A46" s="2" t="inlineStr">
        <is>
          <t>Enter debts as positive balances. The Kind column subtracts them for you.</t>
        </is>
      </c>
    </row>
  </sheetData>
  <dataValidations count="1">
    <dataValidation sqref="B5 B6 B7 B8 B9 B10 B11 B12 B13 B14 B15 B16 B17 B18 B19 B20 B21 B22 B23 B24 B25 B26 B27 B28 B29 B30 B31 B32 B33 B34 B35 B36 B37 B38 B39 B40 B41 B42 B43 B44" showDropDown="0" showInputMessage="0" showErrorMessage="0" allowBlank="1" type="list">
      <formula1>Lists!$A$5:$A$16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5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ht="28" customHeight="1">
      <c r="A1" s="1" t="inlineStr">
        <is>
          <t>Snapshots</t>
        </is>
      </c>
    </row>
    <row r="2">
      <c r="A2" s="2" t="inlineStr">
        <is>
          <t>Once a month, enter each balance. Set your first month in C4; the rest follow.</t>
        </is>
      </c>
    </row>
    <row r="4">
      <c r="A4" s="10" t="inlineStr">
        <is>
          <t>Account</t>
        </is>
      </c>
      <c r="B4" s="11" t="inlineStr">
        <is>
          <t>Type</t>
        </is>
      </c>
      <c r="C4" s="22" t="n">
        <v>46023</v>
      </c>
      <c r="D4" s="23">
        <f>EDATE(C4,1)</f>
        <v/>
      </c>
      <c r="E4" s="23">
        <f>EDATE(D4,1)</f>
        <v/>
      </c>
      <c r="F4" s="23">
        <f>EDATE(E4,1)</f>
        <v/>
      </c>
      <c r="G4" s="23">
        <f>EDATE(F4,1)</f>
        <v/>
      </c>
      <c r="H4" s="23">
        <f>EDATE(G4,1)</f>
        <v/>
      </c>
      <c r="I4" s="23">
        <f>EDATE(H4,1)</f>
        <v/>
      </c>
      <c r="J4" s="23">
        <f>EDATE(I4,1)</f>
        <v/>
      </c>
      <c r="K4" s="23">
        <f>EDATE(J4,1)</f>
        <v/>
      </c>
      <c r="L4" s="23">
        <f>EDATE(K4,1)</f>
        <v/>
      </c>
      <c r="M4" s="23">
        <f>EDATE(L4,1)</f>
        <v/>
      </c>
      <c r="N4" s="23">
        <f>EDATE(M4,1)</f>
        <v/>
      </c>
      <c r="O4" s="23">
        <f>EDATE(N4,1)</f>
        <v/>
      </c>
      <c r="P4" s="23">
        <f>EDATE(O4,1)</f>
        <v/>
      </c>
      <c r="Q4" s="23">
        <f>EDATE(P4,1)</f>
        <v/>
      </c>
      <c r="R4" s="23">
        <f>EDATE(Q4,1)</f>
        <v/>
      </c>
      <c r="S4" s="23">
        <f>EDATE(R4,1)</f>
        <v/>
      </c>
      <c r="T4" s="23">
        <f>EDATE(S4,1)</f>
        <v/>
      </c>
      <c r="U4" s="23">
        <f>EDATE(T4,1)</f>
        <v/>
      </c>
      <c r="V4" s="23">
        <f>EDATE(U4,1)</f>
        <v/>
      </c>
      <c r="W4" s="23">
        <f>EDATE(V4,1)</f>
        <v/>
      </c>
      <c r="X4" s="23">
        <f>EDATE(W4,1)</f>
        <v/>
      </c>
      <c r="Y4" s="23">
        <f>EDATE(X4,1)</f>
        <v/>
      </c>
      <c r="Z4" s="23">
        <f>EDATE(Y4,1)</f>
        <v/>
      </c>
    </row>
    <row r="5">
      <c r="A5">
        <f>IF(Accounts!A5="","",Accounts!A5)</f>
        <v/>
      </c>
      <c r="B5" s="21">
        <f>IF(Accounts!B5="","",Accounts!B5)</f>
        <v/>
      </c>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f>IF(Accounts!A6="","",Accounts!A6)</f>
        <v/>
      </c>
      <c r="B6" s="21">
        <f>IF(Accounts!B6="","",Accounts!B6)</f>
        <v/>
      </c>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f>IF(Accounts!A7="","",Accounts!A7)</f>
        <v/>
      </c>
      <c r="B7" s="21">
        <f>IF(Accounts!B7="","",Accounts!B7)</f>
        <v/>
      </c>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f>IF(Accounts!A8="","",Accounts!A8)</f>
        <v/>
      </c>
      <c r="B8" s="21">
        <f>IF(Accounts!B8="","",Accounts!B8)</f>
        <v/>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f>IF(Accounts!A9="","",Accounts!A9)</f>
        <v/>
      </c>
      <c r="B9" s="21">
        <f>IF(Accounts!B9="","",Accounts!B9)</f>
        <v/>
      </c>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f>IF(Accounts!A10="","",Accounts!A10)</f>
        <v/>
      </c>
      <c r="B10" s="21">
        <f>IF(Accounts!B10="","",Accounts!B10)</f>
        <v/>
      </c>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f>IF(Accounts!A11="","",Accounts!A11)</f>
        <v/>
      </c>
      <c r="B11" s="21">
        <f>IF(Accounts!B11="","",Accounts!B11)</f>
        <v/>
      </c>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f>IF(Accounts!A12="","",Accounts!A12)</f>
        <v/>
      </c>
      <c r="B12" s="21">
        <f>IF(Accounts!B12="","",Accounts!B12)</f>
        <v/>
      </c>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f>IF(Accounts!A13="","",Accounts!A13)</f>
        <v/>
      </c>
      <c r="B13" s="21">
        <f>IF(Accounts!B13="","",Accounts!B13)</f>
        <v/>
      </c>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f>IF(Accounts!A14="","",Accounts!A14)</f>
        <v/>
      </c>
      <c r="B14" s="21">
        <f>IF(Accounts!B14="","",Accounts!B14)</f>
        <v/>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f>IF(Accounts!A15="","",Accounts!A15)</f>
        <v/>
      </c>
      <c r="B15" s="21">
        <f>IF(Accounts!B15="","",Accounts!B15)</f>
        <v/>
      </c>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f>IF(Accounts!A16="","",Accounts!A16)</f>
        <v/>
      </c>
      <c r="B16" s="21">
        <f>IF(Accounts!B16="","",Accounts!B16)</f>
        <v/>
      </c>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f>IF(Accounts!A17="","",Accounts!A17)</f>
        <v/>
      </c>
      <c r="B17" s="21">
        <f>IF(Accounts!B17="","",Accounts!B17)</f>
        <v/>
      </c>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f>IF(Accounts!A18="","",Accounts!A18)</f>
        <v/>
      </c>
      <c r="B18" s="21">
        <f>IF(Accounts!B18="","",Accounts!B18)</f>
        <v/>
      </c>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f>IF(Accounts!A19="","",Accounts!A19)</f>
        <v/>
      </c>
      <c r="B19" s="21">
        <f>IF(Accounts!B19="","",Accounts!B19)</f>
        <v/>
      </c>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f>IF(Accounts!A20="","",Accounts!A20)</f>
        <v/>
      </c>
      <c r="B20" s="21">
        <f>IF(Accounts!B20="","",Accounts!B20)</f>
        <v/>
      </c>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f>IF(Accounts!A21="","",Accounts!A21)</f>
        <v/>
      </c>
      <c r="B21" s="21">
        <f>IF(Accounts!B21="","",Accounts!B21)</f>
        <v/>
      </c>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f>IF(Accounts!A22="","",Accounts!A22)</f>
        <v/>
      </c>
      <c r="B22" s="21">
        <f>IF(Accounts!B22="","",Accounts!B22)</f>
        <v/>
      </c>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f>IF(Accounts!A23="","",Accounts!A23)</f>
        <v/>
      </c>
      <c r="B23" s="21">
        <f>IF(Accounts!B23="","",Accounts!B23)</f>
        <v/>
      </c>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f>IF(Accounts!A24="","",Accounts!A24)</f>
        <v/>
      </c>
      <c r="B24" s="21">
        <f>IF(Accounts!B24="","",Accounts!B24)</f>
        <v/>
      </c>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f>IF(Accounts!A25="","",Accounts!A25)</f>
        <v/>
      </c>
      <c r="B25" s="21">
        <f>IF(Accounts!B25="","",Accounts!B25)</f>
        <v/>
      </c>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f>IF(Accounts!A26="","",Accounts!A26)</f>
        <v/>
      </c>
      <c r="B26" s="21">
        <f>IF(Accounts!B26="","",Accounts!B26)</f>
        <v/>
      </c>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f>IF(Accounts!A27="","",Accounts!A27)</f>
        <v/>
      </c>
      <c r="B27" s="21">
        <f>IF(Accounts!B27="","",Accounts!B27)</f>
        <v/>
      </c>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f>IF(Accounts!A28="","",Accounts!A28)</f>
        <v/>
      </c>
      <c r="B28" s="21">
        <f>IF(Accounts!B28="","",Accounts!B28)</f>
        <v/>
      </c>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f>IF(Accounts!A29="","",Accounts!A29)</f>
        <v/>
      </c>
      <c r="B29" s="21">
        <f>IF(Accounts!B29="","",Accounts!B29)</f>
        <v/>
      </c>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f>IF(Accounts!A30="","",Accounts!A30)</f>
        <v/>
      </c>
      <c r="B30" s="21">
        <f>IF(Accounts!B30="","",Accounts!B30)</f>
        <v/>
      </c>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f>IF(Accounts!A31="","",Accounts!A31)</f>
        <v/>
      </c>
      <c r="B31" s="21">
        <f>IF(Accounts!B31="","",Accounts!B31)</f>
        <v/>
      </c>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f>IF(Accounts!A32="","",Accounts!A32)</f>
        <v/>
      </c>
      <c r="B32" s="21">
        <f>IF(Accounts!B32="","",Accounts!B32)</f>
        <v/>
      </c>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f>IF(Accounts!A33="","",Accounts!A33)</f>
        <v/>
      </c>
      <c r="B33" s="21">
        <f>IF(Accounts!B33="","",Accounts!B33)</f>
        <v/>
      </c>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f>IF(Accounts!A34="","",Accounts!A34)</f>
        <v/>
      </c>
      <c r="B34" s="21">
        <f>IF(Accounts!B34="","",Accounts!B34)</f>
        <v/>
      </c>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f>IF(Accounts!A35="","",Accounts!A35)</f>
        <v/>
      </c>
      <c r="B35" s="21">
        <f>IF(Accounts!B35="","",Accounts!B35)</f>
        <v/>
      </c>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f>IF(Accounts!A36="","",Accounts!A36)</f>
        <v/>
      </c>
      <c r="B36" s="21">
        <f>IF(Accounts!B36="","",Accounts!B36)</f>
        <v/>
      </c>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f>IF(Accounts!A37="","",Accounts!A37)</f>
        <v/>
      </c>
      <c r="B37" s="21">
        <f>IF(Accounts!B37="","",Accounts!B37)</f>
        <v/>
      </c>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f>IF(Accounts!A38="","",Accounts!A38)</f>
        <v/>
      </c>
      <c r="B38" s="21">
        <f>IF(Accounts!B38="","",Accounts!B38)</f>
        <v/>
      </c>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f>IF(Accounts!A39="","",Accounts!A39)</f>
        <v/>
      </c>
      <c r="B39" s="21">
        <f>IF(Accounts!B39="","",Accounts!B39)</f>
        <v/>
      </c>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f>IF(Accounts!A40="","",Accounts!A40)</f>
        <v/>
      </c>
      <c r="B40" s="21">
        <f>IF(Accounts!B40="","",Accounts!B40)</f>
        <v/>
      </c>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f>IF(Accounts!A41="","",Accounts!A41)</f>
        <v/>
      </c>
      <c r="B41" s="21">
        <f>IF(Accounts!B41="","",Accounts!B41)</f>
        <v/>
      </c>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f>IF(Accounts!A42="","",Accounts!A42)</f>
        <v/>
      </c>
      <c r="B42" s="21">
        <f>IF(Accounts!B42="","",Accounts!B42)</f>
        <v/>
      </c>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f>IF(Accounts!A43="","",Accounts!A43)</f>
        <v/>
      </c>
      <c r="B43" s="21">
        <f>IF(Accounts!B43="","",Accounts!B43)</f>
        <v/>
      </c>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f>IF(Accounts!A44="","",Accounts!A44)</f>
        <v/>
      </c>
      <c r="B44" s="21">
        <f>IF(Accounts!B44="","",Accounts!B44)</f>
        <v/>
      </c>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6">
      <c r="A46" s="10" t="inlineStr">
        <is>
          <t>Totals</t>
        </is>
      </c>
      <c r="B46" s="11" t="inlineStr"/>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row>
    <row r="47">
      <c r="A47" s="15" t="inlineStr">
        <is>
          <t>Total assets</t>
        </is>
      </c>
      <c r="C47" s="14">
        <f>IF(C$53=1,SUMIFS(C$5:C$44,Accounts!$C$5:$C$44,"Asset"),"")</f>
        <v/>
      </c>
      <c r="D47" s="14">
        <f>IF(D$53=1,SUMIFS(D$5:D$44,Accounts!$C$5:$C$44,"Asset"),"")</f>
        <v/>
      </c>
      <c r="E47" s="14">
        <f>IF(E$53=1,SUMIFS(E$5:E$44,Accounts!$C$5:$C$44,"Asset"),"")</f>
        <v/>
      </c>
      <c r="F47" s="14">
        <f>IF(F$53=1,SUMIFS(F$5:F$44,Accounts!$C$5:$C$44,"Asset"),"")</f>
        <v/>
      </c>
      <c r="G47" s="14">
        <f>IF(G$53=1,SUMIFS(G$5:G$44,Accounts!$C$5:$C$44,"Asset"),"")</f>
        <v/>
      </c>
      <c r="H47" s="14">
        <f>IF(H$53=1,SUMIFS(H$5:H$44,Accounts!$C$5:$C$44,"Asset"),"")</f>
        <v/>
      </c>
      <c r="I47" s="14">
        <f>IF(I$53=1,SUMIFS(I$5:I$44,Accounts!$C$5:$C$44,"Asset"),"")</f>
        <v/>
      </c>
      <c r="J47" s="14">
        <f>IF(J$53=1,SUMIFS(J$5:J$44,Accounts!$C$5:$C$44,"Asset"),"")</f>
        <v/>
      </c>
      <c r="K47" s="14">
        <f>IF(K$53=1,SUMIFS(K$5:K$44,Accounts!$C$5:$C$44,"Asset"),"")</f>
        <v/>
      </c>
      <c r="L47" s="14">
        <f>IF(L$53=1,SUMIFS(L$5:L$44,Accounts!$C$5:$C$44,"Asset"),"")</f>
        <v/>
      </c>
      <c r="M47" s="14">
        <f>IF(M$53=1,SUMIFS(M$5:M$44,Accounts!$C$5:$C$44,"Asset"),"")</f>
        <v/>
      </c>
      <c r="N47" s="14">
        <f>IF(N$53=1,SUMIFS(N$5:N$44,Accounts!$C$5:$C$44,"Asset"),"")</f>
        <v/>
      </c>
      <c r="O47" s="14">
        <f>IF(O$53=1,SUMIFS(O$5:O$44,Accounts!$C$5:$C$44,"Asset"),"")</f>
        <v/>
      </c>
      <c r="P47" s="14">
        <f>IF(P$53=1,SUMIFS(P$5:P$44,Accounts!$C$5:$C$44,"Asset"),"")</f>
        <v/>
      </c>
      <c r="Q47" s="14">
        <f>IF(Q$53=1,SUMIFS(Q$5:Q$44,Accounts!$C$5:$C$44,"Asset"),"")</f>
        <v/>
      </c>
      <c r="R47" s="14">
        <f>IF(R$53=1,SUMIFS(R$5:R$44,Accounts!$C$5:$C$44,"Asset"),"")</f>
        <v/>
      </c>
      <c r="S47" s="14">
        <f>IF(S$53=1,SUMIFS(S$5:S$44,Accounts!$C$5:$C$44,"Asset"),"")</f>
        <v/>
      </c>
      <c r="T47" s="14">
        <f>IF(T$53=1,SUMIFS(T$5:T$44,Accounts!$C$5:$C$44,"Asset"),"")</f>
        <v/>
      </c>
      <c r="U47" s="14">
        <f>IF(U$53=1,SUMIFS(U$5:U$44,Accounts!$C$5:$C$44,"Asset"),"")</f>
        <v/>
      </c>
      <c r="V47" s="14">
        <f>IF(V$53=1,SUMIFS(V$5:V$44,Accounts!$C$5:$C$44,"Asset"),"")</f>
        <v/>
      </c>
      <c r="W47" s="14">
        <f>IF(W$53=1,SUMIFS(W$5:W$44,Accounts!$C$5:$C$44,"Asset"),"")</f>
        <v/>
      </c>
      <c r="X47" s="14">
        <f>IF(X$53=1,SUMIFS(X$5:X$44,Accounts!$C$5:$C$44,"Asset"),"")</f>
        <v/>
      </c>
      <c r="Y47" s="14">
        <f>IF(Y$53=1,SUMIFS(Y$5:Y$44,Accounts!$C$5:$C$44,"Asset"),"")</f>
        <v/>
      </c>
      <c r="Z47" s="14">
        <f>IF(Z$53=1,SUMIFS(Z$5:Z$44,Accounts!$C$5:$C$44,"Asset"),"")</f>
        <v/>
      </c>
    </row>
    <row r="48">
      <c r="A48" s="15" t="inlineStr">
        <is>
          <t>Total debts</t>
        </is>
      </c>
      <c r="C48" s="14">
        <f>IF(C$53=1,SUMIFS(C$5:C$44,Accounts!$C$5:$C$44,"Debt"),"")</f>
        <v/>
      </c>
      <c r="D48" s="14">
        <f>IF(D$53=1,SUMIFS(D$5:D$44,Accounts!$C$5:$C$44,"Debt"),"")</f>
        <v/>
      </c>
      <c r="E48" s="14">
        <f>IF(E$53=1,SUMIFS(E$5:E$44,Accounts!$C$5:$C$44,"Debt"),"")</f>
        <v/>
      </c>
      <c r="F48" s="14">
        <f>IF(F$53=1,SUMIFS(F$5:F$44,Accounts!$C$5:$C$44,"Debt"),"")</f>
        <v/>
      </c>
      <c r="G48" s="14">
        <f>IF(G$53=1,SUMIFS(G$5:G$44,Accounts!$C$5:$C$44,"Debt"),"")</f>
        <v/>
      </c>
      <c r="H48" s="14">
        <f>IF(H$53=1,SUMIFS(H$5:H$44,Accounts!$C$5:$C$44,"Debt"),"")</f>
        <v/>
      </c>
      <c r="I48" s="14">
        <f>IF(I$53=1,SUMIFS(I$5:I$44,Accounts!$C$5:$C$44,"Debt"),"")</f>
        <v/>
      </c>
      <c r="J48" s="14">
        <f>IF(J$53=1,SUMIFS(J$5:J$44,Accounts!$C$5:$C$44,"Debt"),"")</f>
        <v/>
      </c>
      <c r="K48" s="14">
        <f>IF(K$53=1,SUMIFS(K$5:K$44,Accounts!$C$5:$C$44,"Debt"),"")</f>
        <v/>
      </c>
      <c r="L48" s="14">
        <f>IF(L$53=1,SUMIFS(L$5:L$44,Accounts!$C$5:$C$44,"Debt"),"")</f>
        <v/>
      </c>
      <c r="M48" s="14">
        <f>IF(M$53=1,SUMIFS(M$5:M$44,Accounts!$C$5:$C$44,"Debt"),"")</f>
        <v/>
      </c>
      <c r="N48" s="14">
        <f>IF(N$53=1,SUMIFS(N$5:N$44,Accounts!$C$5:$C$44,"Debt"),"")</f>
        <v/>
      </c>
      <c r="O48" s="14">
        <f>IF(O$53=1,SUMIFS(O$5:O$44,Accounts!$C$5:$C$44,"Debt"),"")</f>
        <v/>
      </c>
      <c r="P48" s="14">
        <f>IF(P$53=1,SUMIFS(P$5:P$44,Accounts!$C$5:$C$44,"Debt"),"")</f>
        <v/>
      </c>
      <c r="Q48" s="14">
        <f>IF(Q$53=1,SUMIFS(Q$5:Q$44,Accounts!$C$5:$C$44,"Debt"),"")</f>
        <v/>
      </c>
      <c r="R48" s="14">
        <f>IF(R$53=1,SUMIFS(R$5:R$44,Accounts!$C$5:$C$44,"Debt"),"")</f>
        <v/>
      </c>
      <c r="S48" s="14">
        <f>IF(S$53=1,SUMIFS(S$5:S$44,Accounts!$C$5:$C$44,"Debt"),"")</f>
        <v/>
      </c>
      <c r="T48" s="14">
        <f>IF(T$53=1,SUMIFS(T$5:T$44,Accounts!$C$5:$C$44,"Debt"),"")</f>
        <v/>
      </c>
      <c r="U48" s="14">
        <f>IF(U$53=1,SUMIFS(U$5:U$44,Accounts!$C$5:$C$44,"Debt"),"")</f>
        <v/>
      </c>
      <c r="V48" s="14">
        <f>IF(V$53=1,SUMIFS(V$5:V$44,Accounts!$C$5:$C$44,"Debt"),"")</f>
        <v/>
      </c>
      <c r="W48" s="14">
        <f>IF(W$53=1,SUMIFS(W$5:W$44,Accounts!$C$5:$C$44,"Debt"),"")</f>
        <v/>
      </c>
      <c r="X48" s="14">
        <f>IF(X$53=1,SUMIFS(X$5:X$44,Accounts!$C$5:$C$44,"Debt"),"")</f>
        <v/>
      </c>
      <c r="Y48" s="14">
        <f>IF(Y$53=1,SUMIFS(Y$5:Y$44,Accounts!$C$5:$C$44,"Debt"),"")</f>
        <v/>
      </c>
      <c r="Z48" s="14">
        <f>IF(Z$53=1,SUMIFS(Z$5:Z$44,Accounts!$C$5:$C$44,"Debt"),"")</f>
        <v/>
      </c>
    </row>
    <row r="49">
      <c r="A49" s="8" t="inlineStr">
        <is>
          <t>Net worth</t>
        </is>
      </c>
      <c r="C49" s="12">
        <f>IF(C$53=1,C47-C48,"")</f>
        <v/>
      </c>
      <c r="D49" s="12">
        <f>IF(D$53=1,D47-D48,"")</f>
        <v/>
      </c>
      <c r="E49" s="12">
        <f>IF(E$53=1,E47-E48,"")</f>
        <v/>
      </c>
      <c r="F49" s="12">
        <f>IF(F$53=1,F47-F48,"")</f>
        <v/>
      </c>
      <c r="G49" s="12">
        <f>IF(G$53=1,G47-G48,"")</f>
        <v/>
      </c>
      <c r="H49" s="12">
        <f>IF(H$53=1,H47-H48,"")</f>
        <v/>
      </c>
      <c r="I49" s="12">
        <f>IF(I$53=1,I47-I48,"")</f>
        <v/>
      </c>
      <c r="J49" s="12">
        <f>IF(J$53=1,J47-J48,"")</f>
        <v/>
      </c>
      <c r="K49" s="12">
        <f>IF(K$53=1,K47-K48,"")</f>
        <v/>
      </c>
      <c r="L49" s="12">
        <f>IF(L$53=1,L47-L48,"")</f>
        <v/>
      </c>
      <c r="M49" s="12">
        <f>IF(M$53=1,M47-M48,"")</f>
        <v/>
      </c>
      <c r="N49" s="12">
        <f>IF(N$53=1,N47-N48,"")</f>
        <v/>
      </c>
      <c r="O49" s="12">
        <f>IF(O$53=1,O47-O48,"")</f>
        <v/>
      </c>
      <c r="P49" s="12">
        <f>IF(P$53=1,P47-P48,"")</f>
        <v/>
      </c>
      <c r="Q49" s="12">
        <f>IF(Q$53=1,Q47-Q48,"")</f>
        <v/>
      </c>
      <c r="R49" s="12">
        <f>IF(R$53=1,R47-R48,"")</f>
        <v/>
      </c>
      <c r="S49" s="12">
        <f>IF(S$53=1,S47-S48,"")</f>
        <v/>
      </c>
      <c r="T49" s="12">
        <f>IF(T$53=1,T47-T48,"")</f>
        <v/>
      </c>
      <c r="U49" s="12">
        <f>IF(U$53=1,U47-U48,"")</f>
        <v/>
      </c>
      <c r="V49" s="12">
        <f>IF(V$53=1,V47-V48,"")</f>
        <v/>
      </c>
      <c r="W49" s="12">
        <f>IF(W$53=1,W47-W48,"")</f>
        <v/>
      </c>
      <c r="X49" s="12">
        <f>IF(X$53=1,X47-X48,"")</f>
        <v/>
      </c>
      <c r="Y49" s="12">
        <f>IF(Y$53=1,Y47-Y48,"")</f>
        <v/>
      </c>
      <c r="Z49" s="12">
        <f>IF(Z$53=1,Z47-Z48,"")</f>
        <v/>
      </c>
    </row>
    <row r="50">
      <c r="A50" s="15" t="inlineStr">
        <is>
          <t>Liquid assets</t>
        </is>
      </c>
      <c r="C50" s="14">
        <f>IF(C$53=1,SUMIFS(C$5:C$44,Accounts!$D$5:$D$44,"Yes"),"")</f>
        <v/>
      </c>
      <c r="D50" s="14">
        <f>IF(D$53=1,SUMIFS(D$5:D$44,Accounts!$D$5:$D$44,"Yes"),"")</f>
        <v/>
      </c>
      <c r="E50" s="14">
        <f>IF(E$53=1,SUMIFS(E$5:E$44,Accounts!$D$5:$D$44,"Yes"),"")</f>
        <v/>
      </c>
      <c r="F50" s="14">
        <f>IF(F$53=1,SUMIFS(F$5:F$44,Accounts!$D$5:$D$44,"Yes"),"")</f>
        <v/>
      </c>
      <c r="G50" s="14">
        <f>IF(G$53=1,SUMIFS(G$5:G$44,Accounts!$D$5:$D$44,"Yes"),"")</f>
        <v/>
      </c>
      <c r="H50" s="14">
        <f>IF(H$53=1,SUMIFS(H$5:H$44,Accounts!$D$5:$D$44,"Yes"),"")</f>
        <v/>
      </c>
      <c r="I50" s="14">
        <f>IF(I$53=1,SUMIFS(I$5:I$44,Accounts!$D$5:$D$44,"Yes"),"")</f>
        <v/>
      </c>
      <c r="J50" s="14">
        <f>IF(J$53=1,SUMIFS(J$5:J$44,Accounts!$D$5:$D$44,"Yes"),"")</f>
        <v/>
      </c>
      <c r="K50" s="14">
        <f>IF(K$53=1,SUMIFS(K$5:K$44,Accounts!$D$5:$D$44,"Yes"),"")</f>
        <v/>
      </c>
      <c r="L50" s="14">
        <f>IF(L$53=1,SUMIFS(L$5:L$44,Accounts!$D$5:$D$44,"Yes"),"")</f>
        <v/>
      </c>
      <c r="M50" s="14">
        <f>IF(M$53=1,SUMIFS(M$5:M$44,Accounts!$D$5:$D$44,"Yes"),"")</f>
        <v/>
      </c>
      <c r="N50" s="14">
        <f>IF(N$53=1,SUMIFS(N$5:N$44,Accounts!$D$5:$D$44,"Yes"),"")</f>
        <v/>
      </c>
      <c r="O50" s="14">
        <f>IF(O$53=1,SUMIFS(O$5:O$44,Accounts!$D$5:$D$44,"Yes"),"")</f>
        <v/>
      </c>
      <c r="P50" s="14">
        <f>IF(P$53=1,SUMIFS(P$5:P$44,Accounts!$D$5:$D$44,"Yes"),"")</f>
        <v/>
      </c>
      <c r="Q50" s="14">
        <f>IF(Q$53=1,SUMIFS(Q$5:Q$44,Accounts!$D$5:$D$44,"Yes"),"")</f>
        <v/>
      </c>
      <c r="R50" s="14">
        <f>IF(R$53=1,SUMIFS(R$5:R$44,Accounts!$D$5:$D$44,"Yes"),"")</f>
        <v/>
      </c>
      <c r="S50" s="14">
        <f>IF(S$53=1,SUMIFS(S$5:S$44,Accounts!$D$5:$D$44,"Yes"),"")</f>
        <v/>
      </c>
      <c r="T50" s="14">
        <f>IF(T$53=1,SUMIFS(T$5:T$44,Accounts!$D$5:$D$44,"Yes"),"")</f>
        <v/>
      </c>
      <c r="U50" s="14">
        <f>IF(U$53=1,SUMIFS(U$5:U$44,Accounts!$D$5:$D$44,"Yes"),"")</f>
        <v/>
      </c>
      <c r="V50" s="14">
        <f>IF(V$53=1,SUMIFS(V$5:V$44,Accounts!$D$5:$D$44,"Yes"),"")</f>
        <v/>
      </c>
      <c r="W50" s="14">
        <f>IF(W$53=1,SUMIFS(W$5:W$44,Accounts!$D$5:$D$44,"Yes"),"")</f>
        <v/>
      </c>
      <c r="X50" s="14">
        <f>IF(X$53=1,SUMIFS(X$5:X$44,Accounts!$D$5:$D$44,"Yes"),"")</f>
        <v/>
      </c>
      <c r="Y50" s="14">
        <f>IF(Y$53=1,SUMIFS(Y$5:Y$44,Accounts!$D$5:$D$44,"Yes"),"")</f>
        <v/>
      </c>
      <c r="Z50" s="14">
        <f>IF(Z$53=1,SUMIFS(Z$5:Z$44,Accounts!$D$5:$D$44,"Yes"),"")</f>
        <v/>
      </c>
    </row>
    <row r="51">
      <c r="A51" s="8" t="inlineStr">
        <is>
          <t>Liquid net worth</t>
        </is>
      </c>
      <c r="C51" s="12">
        <f>IF(C$53=1,C50-C48,"")</f>
        <v/>
      </c>
      <c r="D51" s="12">
        <f>IF(D$53=1,D50-D48,"")</f>
        <v/>
      </c>
      <c r="E51" s="12">
        <f>IF(E$53=1,E50-E48,"")</f>
        <v/>
      </c>
      <c r="F51" s="12">
        <f>IF(F$53=1,F50-F48,"")</f>
        <v/>
      </c>
      <c r="G51" s="12">
        <f>IF(G$53=1,G50-G48,"")</f>
        <v/>
      </c>
      <c r="H51" s="12">
        <f>IF(H$53=1,H50-H48,"")</f>
        <v/>
      </c>
      <c r="I51" s="12">
        <f>IF(I$53=1,I50-I48,"")</f>
        <v/>
      </c>
      <c r="J51" s="12">
        <f>IF(J$53=1,J50-J48,"")</f>
        <v/>
      </c>
      <c r="K51" s="12">
        <f>IF(K$53=1,K50-K48,"")</f>
        <v/>
      </c>
      <c r="L51" s="12">
        <f>IF(L$53=1,L50-L48,"")</f>
        <v/>
      </c>
      <c r="M51" s="12">
        <f>IF(M$53=1,M50-M48,"")</f>
        <v/>
      </c>
      <c r="N51" s="12">
        <f>IF(N$53=1,N50-N48,"")</f>
        <v/>
      </c>
      <c r="O51" s="12">
        <f>IF(O$53=1,O50-O48,"")</f>
        <v/>
      </c>
      <c r="P51" s="12">
        <f>IF(P$53=1,P50-P48,"")</f>
        <v/>
      </c>
      <c r="Q51" s="12">
        <f>IF(Q$53=1,Q50-Q48,"")</f>
        <v/>
      </c>
      <c r="R51" s="12">
        <f>IF(R$53=1,R50-R48,"")</f>
        <v/>
      </c>
      <c r="S51" s="12">
        <f>IF(S$53=1,S50-S48,"")</f>
        <v/>
      </c>
      <c r="T51" s="12">
        <f>IF(T$53=1,T50-T48,"")</f>
        <v/>
      </c>
      <c r="U51" s="12">
        <f>IF(U$53=1,U50-U48,"")</f>
        <v/>
      </c>
      <c r="V51" s="12">
        <f>IF(V$53=1,V50-V48,"")</f>
        <v/>
      </c>
      <c r="W51" s="12">
        <f>IF(W$53=1,W50-W48,"")</f>
        <v/>
      </c>
      <c r="X51" s="12">
        <f>IF(X$53=1,X50-X48,"")</f>
        <v/>
      </c>
      <c r="Y51" s="12">
        <f>IF(Y$53=1,Y50-Y48,"")</f>
        <v/>
      </c>
      <c r="Z51" s="12">
        <f>IF(Z$53=1,Z50-Z48,"")</f>
        <v/>
      </c>
    </row>
    <row r="52">
      <c r="A52" s="15" t="inlineStr">
        <is>
          <t>Cash</t>
        </is>
      </c>
      <c r="C52" s="14">
        <f>IF(C$53=1,SUMIFS(C$5:C$44,Accounts!$B$5:$B$44,"Cash"),"")</f>
        <v/>
      </c>
      <c r="D52" s="14">
        <f>IF(D$53=1,SUMIFS(D$5:D$44,Accounts!$B$5:$B$44,"Cash"),"")</f>
        <v/>
      </c>
      <c r="E52" s="14">
        <f>IF(E$53=1,SUMIFS(E$5:E$44,Accounts!$B$5:$B$44,"Cash"),"")</f>
        <v/>
      </c>
      <c r="F52" s="14">
        <f>IF(F$53=1,SUMIFS(F$5:F$44,Accounts!$B$5:$B$44,"Cash"),"")</f>
        <v/>
      </c>
      <c r="G52" s="14">
        <f>IF(G$53=1,SUMIFS(G$5:G$44,Accounts!$B$5:$B$44,"Cash"),"")</f>
        <v/>
      </c>
      <c r="H52" s="14">
        <f>IF(H$53=1,SUMIFS(H$5:H$44,Accounts!$B$5:$B$44,"Cash"),"")</f>
        <v/>
      </c>
      <c r="I52" s="14">
        <f>IF(I$53=1,SUMIFS(I$5:I$44,Accounts!$B$5:$B$44,"Cash"),"")</f>
        <v/>
      </c>
      <c r="J52" s="14">
        <f>IF(J$53=1,SUMIFS(J$5:J$44,Accounts!$B$5:$B$44,"Cash"),"")</f>
        <v/>
      </c>
      <c r="K52" s="14">
        <f>IF(K$53=1,SUMIFS(K$5:K$44,Accounts!$B$5:$B$44,"Cash"),"")</f>
        <v/>
      </c>
      <c r="L52" s="14">
        <f>IF(L$53=1,SUMIFS(L$5:L$44,Accounts!$B$5:$B$44,"Cash"),"")</f>
        <v/>
      </c>
      <c r="M52" s="14">
        <f>IF(M$53=1,SUMIFS(M$5:M$44,Accounts!$B$5:$B$44,"Cash"),"")</f>
        <v/>
      </c>
      <c r="N52" s="14">
        <f>IF(N$53=1,SUMIFS(N$5:N$44,Accounts!$B$5:$B$44,"Cash"),"")</f>
        <v/>
      </c>
      <c r="O52" s="14">
        <f>IF(O$53=1,SUMIFS(O$5:O$44,Accounts!$B$5:$B$44,"Cash"),"")</f>
        <v/>
      </c>
      <c r="P52" s="14">
        <f>IF(P$53=1,SUMIFS(P$5:P$44,Accounts!$B$5:$B$44,"Cash"),"")</f>
        <v/>
      </c>
      <c r="Q52" s="14">
        <f>IF(Q$53=1,SUMIFS(Q$5:Q$44,Accounts!$B$5:$B$44,"Cash"),"")</f>
        <v/>
      </c>
      <c r="R52" s="14">
        <f>IF(R$53=1,SUMIFS(R$5:R$44,Accounts!$B$5:$B$44,"Cash"),"")</f>
        <v/>
      </c>
      <c r="S52" s="14">
        <f>IF(S$53=1,SUMIFS(S$5:S$44,Accounts!$B$5:$B$44,"Cash"),"")</f>
        <v/>
      </c>
      <c r="T52" s="14">
        <f>IF(T$53=1,SUMIFS(T$5:T$44,Accounts!$B$5:$B$44,"Cash"),"")</f>
        <v/>
      </c>
      <c r="U52" s="14">
        <f>IF(U$53=1,SUMIFS(U$5:U$44,Accounts!$B$5:$B$44,"Cash"),"")</f>
        <v/>
      </c>
      <c r="V52" s="14">
        <f>IF(V$53=1,SUMIFS(V$5:V$44,Accounts!$B$5:$B$44,"Cash"),"")</f>
        <v/>
      </c>
      <c r="W52" s="14">
        <f>IF(W$53=1,SUMIFS(W$5:W$44,Accounts!$B$5:$B$44,"Cash"),"")</f>
        <v/>
      </c>
      <c r="X52" s="14">
        <f>IF(X$53=1,SUMIFS(X$5:X$44,Accounts!$B$5:$B$44,"Cash"),"")</f>
        <v/>
      </c>
      <c r="Y52" s="14">
        <f>IF(Y$53=1,SUMIFS(Y$5:Y$44,Accounts!$B$5:$B$44,"Cash"),"")</f>
        <v/>
      </c>
      <c r="Z52" s="14">
        <f>IF(Z$53=1,SUMIFS(Z$5:Z$44,Accounts!$B$5:$B$44,"Cash"),"")</f>
        <v/>
      </c>
    </row>
    <row r="53">
      <c r="A53" s="15" t="inlineStr">
        <is>
          <t>Month has balances</t>
        </is>
      </c>
      <c r="B53" s="2" t="inlineStr">
        <is>
          <t>(1 = yes; used by Dashboard)</t>
        </is>
      </c>
      <c r="C53" s="24">
        <f>IF(COUNT(C$5:C$44)&gt;0,1,"")</f>
        <v/>
      </c>
      <c r="D53" s="24">
        <f>IF(COUNT(D$5:D$44)&gt;0,1,"")</f>
        <v/>
      </c>
      <c r="E53" s="24">
        <f>IF(COUNT(E$5:E$44)&gt;0,1,"")</f>
        <v/>
      </c>
      <c r="F53" s="24">
        <f>IF(COUNT(F$5:F$44)&gt;0,1,"")</f>
        <v/>
      </c>
      <c r="G53" s="24">
        <f>IF(COUNT(G$5:G$44)&gt;0,1,"")</f>
        <v/>
      </c>
      <c r="H53" s="24">
        <f>IF(COUNT(H$5:H$44)&gt;0,1,"")</f>
        <v/>
      </c>
      <c r="I53" s="24">
        <f>IF(COUNT(I$5:I$44)&gt;0,1,"")</f>
        <v/>
      </c>
      <c r="J53" s="24">
        <f>IF(COUNT(J$5:J$44)&gt;0,1,"")</f>
        <v/>
      </c>
      <c r="K53" s="24">
        <f>IF(COUNT(K$5:K$44)&gt;0,1,"")</f>
        <v/>
      </c>
      <c r="L53" s="24">
        <f>IF(COUNT(L$5:L$44)&gt;0,1,"")</f>
        <v/>
      </c>
      <c r="M53" s="24">
        <f>IF(COUNT(M$5:M$44)&gt;0,1,"")</f>
        <v/>
      </c>
      <c r="N53" s="24">
        <f>IF(COUNT(N$5:N$44)&gt;0,1,"")</f>
        <v/>
      </c>
      <c r="O53" s="24">
        <f>IF(COUNT(O$5:O$44)&gt;0,1,"")</f>
        <v/>
      </c>
      <c r="P53" s="24">
        <f>IF(COUNT(P$5:P$44)&gt;0,1,"")</f>
        <v/>
      </c>
      <c r="Q53" s="24">
        <f>IF(COUNT(Q$5:Q$44)&gt;0,1,"")</f>
        <v/>
      </c>
      <c r="R53" s="24">
        <f>IF(COUNT(R$5:R$44)&gt;0,1,"")</f>
        <v/>
      </c>
      <c r="S53" s="24">
        <f>IF(COUNT(S$5:S$44)&gt;0,1,"")</f>
        <v/>
      </c>
      <c r="T53" s="24">
        <f>IF(COUNT(T$5:T$44)&gt;0,1,"")</f>
        <v/>
      </c>
      <c r="U53" s="24">
        <f>IF(COUNT(U$5:U$44)&gt;0,1,"")</f>
        <v/>
      </c>
      <c r="V53" s="24">
        <f>IF(COUNT(V$5:V$44)&gt;0,1,"")</f>
        <v/>
      </c>
      <c r="W53" s="24">
        <f>IF(COUNT(W$5:W$44)&gt;0,1,"")</f>
        <v/>
      </c>
      <c r="X53" s="24">
        <f>IF(COUNT(X$5:X$44)&gt;0,1,"")</f>
        <v/>
      </c>
      <c r="Y53" s="24">
        <f>IF(COUNT(Y$5:Y$44)&gt;0,1,"")</f>
        <v/>
      </c>
      <c r="Z53" s="24">
        <f>IF(COUNT(Z$5:Z$44)&gt;0,1,"")</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6"/>
  <sheetViews>
    <sheetView workbookViewId="0">
      <selection activeCell="A1" sqref="A1"/>
    </sheetView>
  </sheetViews>
  <sheetFormatPr baseColWidth="8" defaultRowHeight="15"/>
  <cols>
    <col width="20" customWidth="1" min="1" max="1"/>
    <col width="10" customWidth="1" min="2" max="2"/>
    <col width="10" customWidth="1" min="3" max="3"/>
  </cols>
  <sheetData>
    <row r="1" ht="28" customHeight="1">
      <c r="A1" s="1" t="inlineStr">
        <is>
          <t>Lists</t>
        </is>
      </c>
    </row>
    <row r="2">
      <c r="A2" s="2" t="inlineStr">
        <is>
          <t>Account types used by the Accounts tab. Edit with care.</t>
        </is>
      </c>
    </row>
    <row r="4">
      <c r="A4" s="10" t="inlineStr">
        <is>
          <t>Type</t>
        </is>
      </c>
      <c r="B4" s="11" t="inlineStr">
        <is>
          <t>Kind</t>
        </is>
      </c>
      <c r="C4" s="11" t="inlineStr">
        <is>
          <t>Liquid</t>
        </is>
      </c>
    </row>
    <row r="5">
      <c r="A5" s="15" t="inlineStr">
        <is>
          <t>Cash</t>
        </is>
      </c>
      <c r="B5" s="15" t="inlineStr">
        <is>
          <t>Asset</t>
        </is>
      </c>
      <c r="C5" s="15" t="inlineStr">
        <is>
          <t>Yes</t>
        </is>
      </c>
    </row>
    <row r="6">
      <c r="A6" s="15" t="inlineStr">
        <is>
          <t>Taxable investing</t>
        </is>
      </c>
      <c r="B6" s="15" t="inlineStr">
        <is>
          <t>Asset</t>
        </is>
      </c>
      <c r="C6" s="15" t="inlineStr">
        <is>
          <t>Yes</t>
        </is>
      </c>
    </row>
    <row r="7">
      <c r="A7" s="15" t="inlineStr">
        <is>
          <t>Retirement</t>
        </is>
      </c>
      <c r="B7" s="15" t="inlineStr">
        <is>
          <t>Asset</t>
        </is>
      </c>
      <c r="C7" s="15" t="inlineStr">
        <is>
          <t>No</t>
        </is>
      </c>
    </row>
    <row r="8">
      <c r="A8" s="15" t="inlineStr">
        <is>
          <t>HSA</t>
        </is>
      </c>
      <c r="B8" s="15" t="inlineStr">
        <is>
          <t>Asset</t>
        </is>
      </c>
      <c r="C8" s="15" t="inlineStr">
        <is>
          <t>No</t>
        </is>
      </c>
    </row>
    <row r="9">
      <c r="A9" s="15" t="inlineStr">
        <is>
          <t>Real estate</t>
        </is>
      </c>
      <c r="B9" s="15" t="inlineStr">
        <is>
          <t>Asset</t>
        </is>
      </c>
      <c r="C9" s="15" t="inlineStr">
        <is>
          <t>No</t>
        </is>
      </c>
    </row>
    <row r="10">
      <c r="A10" s="15" t="inlineStr">
        <is>
          <t>Vehicle</t>
        </is>
      </c>
      <c r="B10" s="15" t="inlineStr">
        <is>
          <t>Asset</t>
        </is>
      </c>
      <c r="C10" s="15" t="inlineStr">
        <is>
          <t>No</t>
        </is>
      </c>
    </row>
    <row r="11">
      <c r="A11" s="15" t="inlineStr">
        <is>
          <t>Other asset</t>
        </is>
      </c>
      <c r="B11" s="15" t="inlineStr">
        <is>
          <t>Asset</t>
        </is>
      </c>
      <c r="C11" s="15" t="inlineStr">
        <is>
          <t>No</t>
        </is>
      </c>
    </row>
    <row r="12">
      <c r="A12" s="15" t="inlineStr">
        <is>
          <t>Mortgage</t>
        </is>
      </c>
      <c r="B12" s="15" t="inlineStr">
        <is>
          <t>Debt</t>
        </is>
      </c>
      <c r="C12" s="15" t="n"/>
    </row>
    <row r="13">
      <c r="A13" s="15" t="inlineStr">
        <is>
          <t>Student loan</t>
        </is>
      </c>
      <c r="B13" s="15" t="inlineStr">
        <is>
          <t>Debt</t>
        </is>
      </c>
      <c r="C13" s="15" t="n"/>
    </row>
    <row r="14">
      <c r="A14" s="15" t="inlineStr">
        <is>
          <t>Auto loan</t>
        </is>
      </c>
      <c r="B14" s="15" t="inlineStr">
        <is>
          <t>Debt</t>
        </is>
      </c>
      <c r="C14" s="15" t="n"/>
    </row>
    <row r="15">
      <c r="A15" s="15" t="inlineStr">
        <is>
          <t>Credit card</t>
        </is>
      </c>
      <c r="B15" s="15" t="inlineStr">
        <is>
          <t>Debt</t>
        </is>
      </c>
      <c r="C15" s="15" t="n"/>
    </row>
    <row r="16">
      <c r="A16" s="15" t="inlineStr">
        <is>
          <t>Other debt</t>
        </is>
      </c>
      <c r="B16" s="15" t="inlineStr">
        <is>
          <t>Debt</t>
        </is>
      </c>
      <c r="C16" s="15"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DIY Wealth Framework</dc:creator>
  <dcterms:created xsi:type="dcterms:W3CDTF">2026-01-01T00:00:00Z</dcterms:created>
  <dcterms:modified xsi:type="dcterms:W3CDTF">2026-09-28T13:03:02Z</dcterms:modified>
</cp:coreProperties>
</file>