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up" sheetId="2" state="visible" r:id="rId2"/>
    <sheet name="Monthly" sheetId="3" state="visible" r:id="rId3"/>
    <sheet name="Raise Capture" sheetId="4" state="visible" r:id="rId4"/>
  </sheets>
  <definedNames/>
  <calcPr calcId="124519" fullCalcOnLoad="1"/>
</workbook>
</file>

<file path=xl/styles.xml><?xml version="1.0" encoding="utf-8"?>
<styleSheet xmlns="http://schemas.openxmlformats.org/spreadsheetml/2006/main">
  <numFmts count="1">
    <numFmt numFmtId="164" formatCode="&quot;$&quot;#,##0;-&quot;$&quot;#,##0"/>
  </numFmts>
  <fonts count="10">
    <font>
      <name val="Calibri"/>
      <family val="2"/>
      <color theme="1"/>
      <sz val="11"/>
      <scheme val="minor"/>
    </font>
    <font>
      <b val="1"/>
      <color rgb="000F172A"/>
      <sz val="18"/>
    </font>
    <font>
      <i val="1"/>
      <color rgb="00475569"/>
      <sz val="11"/>
    </font>
    <font>
      <b val="1"/>
      <color rgb="00047857"/>
      <sz val="13"/>
    </font>
    <font>
      <b val="1"/>
      <color rgb="000F172A"/>
    </font>
    <font>
      <color rgb="000F172A"/>
    </font>
    <font>
      <color rgb="00047857"/>
      <u val="single"/>
    </font>
    <font>
      <b val="1"/>
      <color rgb="00047857"/>
    </font>
    <font>
      <b val="1"/>
      <color rgb="00FFFFFF"/>
    </font>
    <font>
      <color rgb="00475569"/>
    </font>
  </fonts>
  <fills count="4">
    <fill>
      <patternFill/>
    </fill>
    <fill>
      <patternFill patternType="gray125"/>
    </fill>
    <fill>
      <patternFill patternType="solid">
        <fgColor rgb="00ECFDF5"/>
      </patternFill>
    </fill>
    <fill>
      <patternFill patternType="solid">
        <fgColor rgb="000F172A"/>
      </patternFill>
    </fill>
  </fills>
  <borders count="2">
    <border>
      <left/>
      <right/>
      <top/>
      <bottom/>
      <diagonal/>
    </border>
    <border>
      <left style="thin">
        <color rgb="00A7F3D0"/>
      </left>
      <right style="thin">
        <color rgb="00A7F3D0"/>
      </right>
      <top style="thin">
        <color rgb="00A7F3D0"/>
      </top>
      <bottom style="thin">
        <color rgb="00A7F3D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5" fillId="2" borderId="1" pivotButton="0" quotePrefix="0" xfId="0"/>
    <xf numFmtId="0" fontId="6" fillId="0" borderId="0" pivotButton="0" quotePrefix="0" xfId="0"/>
    <xf numFmtId="0" fontId="4" fillId="0" borderId="0" pivotButton="0" quotePrefix="0" xfId="0"/>
    <xf numFmtId="164" fontId="5" fillId="2" borderId="1" pivotButton="0" quotePrefix="0" xfId="0"/>
    <xf numFmtId="0" fontId="5" fillId="0" borderId="0" pivotButton="0" quotePrefix="0" xfId="0"/>
    <xf numFmtId="164" fontId="7" fillId="0" borderId="0" pivotButton="0" quotePrefix="0" xfId="0"/>
    <xf numFmtId="0" fontId="2" fillId="0" borderId="0" applyAlignment="1" pivotButton="0" quotePrefix="0" xfId="0">
      <alignment vertical="top" wrapText="1"/>
    </xf>
    <xf numFmtId="0" fontId="8" fillId="3" borderId="0" applyAlignment="1" pivotButton="0" quotePrefix="0" xfId="0">
      <alignment horizontal="left" vertical="center"/>
    </xf>
    <xf numFmtId="0" fontId="8" fillId="3" borderId="0" applyAlignment="1" pivotButton="0" quotePrefix="0" xfId="0">
      <alignment horizontal="center" vertical="center"/>
    </xf>
    <xf numFmtId="164" fontId="0" fillId="0" borderId="0" pivotButton="0" quotePrefix="0" xfId="0"/>
    <xf numFmtId="164" fontId="9" fillId="0" borderId="0" pivotButton="0" quotePrefix="0" xfId="0"/>
    <xf numFmtId="0" fontId="9" fillId="0" borderId="0" pivotButton="0" quotePrefix="0" xfId="0"/>
    <xf numFmtId="164" fontId="4" fillId="0" borderId="0" pivotButton="0" quotePrefix="0" xfId="0"/>
    <xf numFmtId="9" fontId="9" fillId="0" borderId="0" pivotButton="0" quotePrefix="0" xfId="0"/>
    <xf numFmtId="9" fontId="0" fillId="0" borderId="0" pivotButton="0" quotePrefix="0" xfId="0"/>
    <xf numFmtId="9" fontId="7" fillId="0" borderId="0" pivotButton="0" quotePrefix="0" xfId="0"/>
    <xf numFmtId="0" fontId="0" fillId="0" borderId="0" applyAlignment="1" pivotButton="0" quotePrefix="0" xfId="0">
      <alignment horizontal="right"/>
    </xf>
    <xf numFmtId="0" fontId="7" fillId="0" borderId="0" pivotButton="0" quotePrefix="0" xfId="0"/>
  </cellXfs>
  <cellStyles count="1">
    <cellStyle name="Normal" xfId="0" builtinId="0" hidden="0"/>
  </cellStyles>
  <dxfs count="1">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y-wealth-framework.vercel.app/02-cash-flow-systems" TargetMode="External" Id="rId1" /></Relationships>
</file>

<file path=xl/worksheets/sheet1.xml><?xml version="1.0" encoding="utf-8"?>
<worksheet xmlns="http://schemas.openxmlformats.org/spreadsheetml/2006/main">
  <sheetPr>
    <outlinePr summaryBelow="1" summaryRight="1"/>
    <pageSetUpPr fitToPage="1"/>
  </sheetPr>
  <dimension ref="A1:B15"/>
  <sheetViews>
    <sheetView showGridLines="0" workbookViewId="0">
      <selection activeCell="A1" sqref="A1"/>
    </sheetView>
  </sheetViews>
  <sheetFormatPr baseColWidth="8" defaultRowHeight="15"/>
  <cols>
    <col width="4" customWidth="1" min="1" max="1"/>
    <col width="96" customWidth="1" min="2" max="2"/>
  </cols>
  <sheetData>
    <row r="1" ht="28" customHeight="1">
      <c r="A1" s="1" t="inlineStr">
        <is>
          <t>Cash Flow Tracker</t>
        </is>
      </c>
    </row>
    <row r="2">
      <c r="A2" s="2" t="inlineStr">
        <is>
          <t>A monthly 50/30/20 check-in from the DIY Wealth Framework.</t>
        </is>
      </c>
    </row>
    <row r="4">
      <c r="A4" s="3" t="inlineStr">
        <is>
          <t>How to use it</t>
        </is>
      </c>
    </row>
    <row r="5" ht="16" customHeight="1">
      <c r="A5" s="4" t="inlineStr">
        <is>
          <t>1.</t>
        </is>
      </c>
      <c r="B5" s="5" t="inlineStr">
        <is>
          <t>On the Setup tab, enter your monthly take-home pay. Your 50/30/20 targets fill in.</t>
        </is>
      </c>
    </row>
    <row r="6" ht="32" customHeight="1">
      <c r="A6" s="4" t="inlineStr">
        <is>
          <t>2.</t>
        </is>
      </c>
      <c r="B6" s="5" t="inlineStr">
        <is>
          <t>On the Monthly tab, rename, add or delete categories to fit your life and tag each one Needs, Wants or Future You. The categories provided are only examples.</t>
        </is>
      </c>
    </row>
    <row r="7" ht="32" customHeight="1">
      <c r="A7" s="4" t="inlineStr">
        <is>
          <t>3.</t>
        </is>
      </c>
      <c r="B7" s="5" t="inlineStr">
        <is>
          <t>Once a month, enter what went to each category. Round numbers are fine: this is a check-in, not a ledger, so there is no need to track every coffee.</t>
        </is>
      </c>
    </row>
    <row r="8" ht="32" customHeight="1">
      <c r="A8" s="4" t="inlineStr">
        <is>
          <t>4.</t>
        </is>
      </c>
      <c r="B8" s="5" t="inlineStr">
        <is>
          <t>Read the summary at the top of Monthly: your savings rate, and a red flag when Needs take more than 50% of pay. If one month's pay was different, overwrite it in row 5.</t>
        </is>
      </c>
    </row>
    <row r="9" ht="16" customHeight="1">
      <c r="A9" s="4" t="inlineStr">
        <is>
          <t>5.</t>
        </is>
      </c>
      <c r="B9" s="5" t="inlineStr">
        <is>
          <t>After a raise, use the Raise Capture tab to see how much of it reached savings.</t>
        </is>
      </c>
    </row>
    <row r="11">
      <c r="A11" s="3" t="inlineStr">
        <is>
          <t>Color key</t>
        </is>
      </c>
    </row>
    <row r="12">
      <c r="B12" s="6" t="inlineStr">
        <is>
          <t>Green cells are yours to fill in. Everything else is a formula; leave it alone.</t>
        </is>
      </c>
    </row>
    <row r="14">
      <c r="B14" s="7" t="inlineStr">
        <is>
          <t>Read the guide: Cash Flow Systems →</t>
        </is>
      </c>
    </row>
    <row r="15">
      <c r="B15" s="2" t="inlineStr">
        <is>
          <t>Educational template only, not financial advice. No data leaves your spreadsheet.</t>
        </is>
      </c>
    </row>
  </sheetData>
  <hyperlinks>
    <hyperlink xmlns:r="http://schemas.openxmlformats.org/officeDocument/2006/relationships" ref="B14" r:id="rId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4"/>
  <sheetViews>
    <sheetView showGridLines="0" workbookViewId="0">
      <selection activeCell="A1" sqref="A1"/>
    </sheetView>
  </sheetViews>
  <sheetFormatPr baseColWidth="8" defaultRowHeight="15"/>
  <cols>
    <col width="34" customWidth="1" min="1" max="1"/>
    <col width="16" customWidth="1" min="2" max="2"/>
    <col width="70" customWidth="1" min="3" max="3"/>
  </cols>
  <sheetData>
    <row r="1" ht="28" customHeight="1">
      <c r="A1" s="1" t="inlineStr">
        <is>
          <t>Setup</t>
        </is>
      </c>
    </row>
    <row r="2">
      <c r="A2" s="2" t="inlineStr">
        <is>
          <t>Enter your monthly take-home pay once. Every month on the Monthly tab starts from it.</t>
        </is>
      </c>
    </row>
    <row r="5">
      <c r="A5" s="8" t="inlineStr">
        <is>
          <t>Monthly take-home pay</t>
        </is>
      </c>
      <c r="B5" s="9" t="n"/>
    </row>
    <row r="7">
      <c r="A7" s="3" t="inlineStr">
        <is>
          <t>50/30/20 targets</t>
        </is>
      </c>
    </row>
    <row r="8">
      <c r="A8" s="10" t="inlineStr">
        <is>
          <t>Needs (50%)</t>
        </is>
      </c>
      <c r="B8" s="11">
        <f>ROUND($B$5*0.5,0)</f>
        <v/>
      </c>
      <c r="C8" s="2" t="inlineStr">
        <is>
          <t>Housing, groceries, utilities, minimum debt payments.</t>
        </is>
      </c>
    </row>
    <row r="9">
      <c r="A9" s="10" t="inlineStr">
        <is>
          <t>Wants (30%)</t>
        </is>
      </c>
      <c r="B9" s="11">
        <f>ROUND($B$5*0.3,0)</f>
        <v/>
      </c>
      <c r="C9" s="2" t="inlineStr">
        <is>
          <t>Dining out, travel, entertainment.</t>
        </is>
      </c>
    </row>
    <row r="10">
      <c r="A10" s="10" t="inlineStr">
        <is>
          <t>Future You (20%)</t>
        </is>
      </c>
      <c r="B10" s="11">
        <f>ROUND($B$5*0.2,0)</f>
        <v/>
      </c>
      <c r="C10" s="2" t="inlineStr">
        <is>
          <t>Debt paydown above minimums, investing and saving.</t>
        </is>
      </c>
    </row>
    <row r="12" ht="30" customHeight="1">
      <c r="A12" s="12" t="inlineStr">
        <is>
          <t>Each target is rounded to the nearest dollar on its own, so the three can add up to $1 more or less than your pay. The calculator on the site does the same.</t>
        </is>
      </c>
    </row>
    <row r="14" ht="30" customHeight="1">
      <c r="A14" s="12" t="inlineStr">
        <is>
          <t>If Needs keep landing above 50%, you cannot budget your way out of it: you have a structural housing or transportation cost problem.</t>
        </is>
      </c>
    </row>
  </sheetData>
  <mergeCells count="2">
    <mergeCell ref="A12:C12"/>
    <mergeCell ref="A14:C1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5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s>
  <sheetData>
    <row r="1" ht="28" customHeight="1">
      <c r="A1" s="1" t="inlineStr">
        <is>
          <t>Monthly</t>
        </is>
      </c>
    </row>
    <row r="2">
      <c r="A2" s="2" t="inlineStr">
        <is>
          <t>One row per category, not per transaction. Enter what went to each category each month.</t>
        </is>
      </c>
    </row>
    <row r="4">
      <c r="A4" s="13" t="inlineStr">
        <is>
          <t>Summary</t>
        </is>
      </c>
      <c r="B4" s="14" t="inlineStr">
        <is>
          <t>Target</t>
        </is>
      </c>
      <c r="C4" s="14" t="inlineStr">
        <is>
          <t>Jan</t>
        </is>
      </c>
      <c r="D4" s="14" t="inlineStr">
        <is>
          <t>Feb</t>
        </is>
      </c>
      <c r="E4" s="14" t="inlineStr">
        <is>
          <t>Mar</t>
        </is>
      </c>
      <c r="F4" s="14" t="inlineStr">
        <is>
          <t>Apr</t>
        </is>
      </c>
      <c r="G4" s="14" t="inlineStr">
        <is>
          <t>May</t>
        </is>
      </c>
      <c r="H4" s="14" t="inlineStr">
        <is>
          <t>Jun</t>
        </is>
      </c>
      <c r="I4" s="14" t="inlineStr">
        <is>
          <t>Jul</t>
        </is>
      </c>
      <c r="J4" s="14" t="inlineStr">
        <is>
          <t>Aug</t>
        </is>
      </c>
      <c r="K4" s="14" t="inlineStr">
        <is>
          <t>Sep</t>
        </is>
      </c>
      <c r="L4" s="14" t="inlineStr">
        <is>
          <t>Oct</t>
        </is>
      </c>
      <c r="M4" s="14" t="inlineStr">
        <is>
          <t>Nov</t>
        </is>
      </c>
      <c r="N4" s="14" t="inlineStr">
        <is>
          <t>Dec</t>
        </is>
      </c>
      <c r="O4" s="14" t="inlineStr">
        <is>
          <t>Year to date</t>
        </is>
      </c>
    </row>
    <row r="5">
      <c r="A5" s="8" t="inlineStr">
        <is>
          <t>Take-home pay</t>
        </is>
      </c>
      <c r="C5" s="9">
        <f>Setup!$B$5</f>
        <v/>
      </c>
      <c r="D5" s="9">
        <f>Setup!$B$5</f>
        <v/>
      </c>
      <c r="E5" s="9">
        <f>Setup!$B$5</f>
        <v/>
      </c>
      <c r="F5" s="9">
        <f>Setup!$B$5</f>
        <v/>
      </c>
      <c r="G5" s="9">
        <f>Setup!$B$5</f>
        <v/>
      </c>
      <c r="H5" s="9">
        <f>Setup!$B$5</f>
        <v/>
      </c>
      <c r="I5" s="9">
        <f>Setup!$B$5</f>
        <v/>
      </c>
      <c r="J5" s="9">
        <f>Setup!$B$5</f>
        <v/>
      </c>
      <c r="K5" s="9">
        <f>Setup!$B$5</f>
        <v/>
      </c>
      <c r="L5" s="9">
        <f>Setup!$B$5</f>
        <v/>
      </c>
      <c r="M5" s="9">
        <f>Setup!$B$5</f>
        <v/>
      </c>
      <c r="N5" s="9">
        <f>Setup!$B$5</f>
        <v/>
      </c>
      <c r="O5" s="15">
        <f>SUMPRODUCT((C6:N6+C7:N7+C8:N8&gt;0)*C5:N5)</f>
        <v/>
      </c>
    </row>
    <row r="6">
      <c r="A6" s="10" t="inlineStr">
        <is>
          <t>Needs</t>
        </is>
      </c>
      <c r="B6" s="16">
        <f>Setup!B8</f>
        <v/>
      </c>
      <c r="C6" s="15">
        <f>SUMIF($B$16:$B$55,"Needs",C$16:C$55)</f>
        <v/>
      </c>
      <c r="D6" s="15">
        <f>SUMIF($B$16:$B$55,"Needs",D$16:D$55)</f>
        <v/>
      </c>
      <c r="E6" s="15">
        <f>SUMIF($B$16:$B$55,"Needs",E$16:E$55)</f>
        <v/>
      </c>
      <c r="F6" s="15">
        <f>SUMIF($B$16:$B$55,"Needs",F$16:F$55)</f>
        <v/>
      </c>
      <c r="G6" s="15">
        <f>SUMIF($B$16:$B$55,"Needs",G$16:G$55)</f>
        <v/>
      </c>
      <c r="H6" s="15">
        <f>SUMIF($B$16:$B$55,"Needs",H$16:H$55)</f>
        <v/>
      </c>
      <c r="I6" s="15">
        <f>SUMIF($B$16:$B$55,"Needs",I$16:I$55)</f>
        <v/>
      </c>
      <c r="J6" s="15">
        <f>SUMIF($B$16:$B$55,"Needs",J$16:J$55)</f>
        <v/>
      </c>
      <c r="K6" s="15">
        <f>SUMIF($B$16:$B$55,"Needs",K$16:K$55)</f>
        <v/>
      </c>
      <c r="L6" s="15">
        <f>SUMIF($B$16:$B$55,"Needs",L$16:L$55)</f>
        <v/>
      </c>
      <c r="M6" s="15">
        <f>SUMIF($B$16:$B$55,"Needs",M$16:M$55)</f>
        <v/>
      </c>
      <c r="N6" s="15">
        <f>SUMIF($B$16:$B$55,"Needs",N$16:N$55)</f>
        <v/>
      </c>
      <c r="O6" s="15">
        <f>SUMIF($B$16:$B$55,"Needs",O$16:O$55)</f>
        <v/>
      </c>
    </row>
    <row r="7">
      <c r="A7" s="10" t="inlineStr">
        <is>
          <t>Wants</t>
        </is>
      </c>
      <c r="B7" s="16">
        <f>Setup!B9</f>
        <v/>
      </c>
      <c r="C7" s="15">
        <f>SUMIF($B$16:$B$55,"Wants",C$16:C$55)</f>
        <v/>
      </c>
      <c r="D7" s="15">
        <f>SUMIF($B$16:$B$55,"Wants",D$16:D$55)</f>
        <v/>
      </c>
      <c r="E7" s="15">
        <f>SUMIF($B$16:$B$55,"Wants",E$16:E$55)</f>
        <v/>
      </c>
      <c r="F7" s="15">
        <f>SUMIF($B$16:$B$55,"Wants",F$16:F$55)</f>
        <v/>
      </c>
      <c r="G7" s="15">
        <f>SUMIF($B$16:$B$55,"Wants",G$16:G$55)</f>
        <v/>
      </c>
      <c r="H7" s="15">
        <f>SUMIF($B$16:$B$55,"Wants",H$16:H$55)</f>
        <v/>
      </c>
      <c r="I7" s="15">
        <f>SUMIF($B$16:$B$55,"Wants",I$16:I$55)</f>
        <v/>
      </c>
      <c r="J7" s="15">
        <f>SUMIF($B$16:$B$55,"Wants",J$16:J$55)</f>
        <v/>
      </c>
      <c r="K7" s="15">
        <f>SUMIF($B$16:$B$55,"Wants",K$16:K$55)</f>
        <v/>
      </c>
      <c r="L7" s="15">
        <f>SUMIF($B$16:$B$55,"Wants",L$16:L$55)</f>
        <v/>
      </c>
      <c r="M7" s="15">
        <f>SUMIF($B$16:$B$55,"Wants",M$16:M$55)</f>
        <v/>
      </c>
      <c r="N7" s="15">
        <f>SUMIF($B$16:$B$55,"Wants",N$16:N$55)</f>
        <v/>
      </c>
      <c r="O7" s="15">
        <f>SUMIF($B$16:$B$55,"Wants",O$16:O$55)</f>
        <v/>
      </c>
    </row>
    <row r="8">
      <c r="A8" s="10" t="inlineStr">
        <is>
          <t>Future You</t>
        </is>
      </c>
      <c r="B8" s="16">
        <f>Setup!B10</f>
        <v/>
      </c>
      <c r="C8" s="15">
        <f>SUMIF($B$16:$B$55,"Future You",C$16:C$55)</f>
        <v/>
      </c>
      <c r="D8" s="15">
        <f>SUMIF($B$16:$B$55,"Future You",D$16:D$55)</f>
        <v/>
      </c>
      <c r="E8" s="15">
        <f>SUMIF($B$16:$B$55,"Future You",E$16:E$55)</f>
        <v/>
      </c>
      <c r="F8" s="15">
        <f>SUMIF($B$16:$B$55,"Future You",F$16:F$55)</f>
        <v/>
      </c>
      <c r="G8" s="15">
        <f>SUMIF($B$16:$B$55,"Future You",G$16:G$55)</f>
        <v/>
      </c>
      <c r="H8" s="15">
        <f>SUMIF($B$16:$B$55,"Future You",H$16:H$55)</f>
        <v/>
      </c>
      <c r="I8" s="15">
        <f>SUMIF($B$16:$B$55,"Future You",I$16:I$55)</f>
        <v/>
      </c>
      <c r="J8" s="15">
        <f>SUMIF($B$16:$B$55,"Future You",J$16:J$55)</f>
        <v/>
      </c>
      <c r="K8" s="15">
        <f>SUMIF($B$16:$B$55,"Future You",K$16:K$55)</f>
        <v/>
      </c>
      <c r="L8" s="15">
        <f>SUMIF($B$16:$B$55,"Future You",L$16:L$55)</f>
        <v/>
      </c>
      <c r="M8" s="15">
        <f>SUMIF($B$16:$B$55,"Future You",M$16:M$55)</f>
        <v/>
      </c>
      <c r="N8" s="15">
        <f>SUMIF($B$16:$B$55,"Future You",N$16:N$55)</f>
        <v/>
      </c>
      <c r="O8" s="15">
        <f>SUMIF($B$16:$B$55,"Future You",O$16:O$55)</f>
        <v/>
      </c>
    </row>
    <row r="9">
      <c r="A9" s="8" t="inlineStr">
        <is>
          <t>Unassigned</t>
        </is>
      </c>
      <c r="B9" s="17" t="n"/>
      <c r="C9" s="18">
        <f>IF(SUM(C6:C8)=0,"",C5-SUM(C6:C8))</f>
        <v/>
      </c>
      <c r="D9" s="18">
        <f>IF(SUM(D6:D8)=0,"",D5-SUM(D6:D8))</f>
        <v/>
      </c>
      <c r="E9" s="18">
        <f>IF(SUM(E6:E8)=0,"",E5-SUM(E6:E8))</f>
        <v/>
      </c>
      <c r="F9" s="18">
        <f>IF(SUM(F6:F8)=0,"",F5-SUM(F6:F8))</f>
        <v/>
      </c>
      <c r="G9" s="18">
        <f>IF(SUM(G6:G8)=0,"",G5-SUM(G6:G8))</f>
        <v/>
      </c>
      <c r="H9" s="18">
        <f>IF(SUM(H6:H8)=0,"",H5-SUM(H6:H8))</f>
        <v/>
      </c>
      <c r="I9" s="18">
        <f>IF(SUM(I6:I8)=0,"",I5-SUM(I6:I8))</f>
        <v/>
      </c>
      <c r="J9" s="18">
        <f>IF(SUM(J6:J8)=0,"",J5-SUM(J6:J8))</f>
        <v/>
      </c>
      <c r="K9" s="18">
        <f>IF(SUM(K6:K8)=0,"",K5-SUM(K6:K8))</f>
        <v/>
      </c>
      <c r="L9" s="18">
        <f>IF(SUM(L6:L8)=0,"",L5-SUM(L6:L8))</f>
        <v/>
      </c>
      <c r="M9" s="18">
        <f>IF(SUM(M6:M8)=0,"",M5-SUM(M6:M8))</f>
        <v/>
      </c>
      <c r="N9" s="18">
        <f>IF(SUM(N6:N8)=0,"",N5-SUM(N6:N8))</f>
        <v/>
      </c>
      <c r="O9" s="18">
        <f>IF(SUM(O6:O8)=0,"",O5-SUM(O6:O8))</f>
        <v/>
      </c>
    </row>
    <row r="10">
      <c r="A10" s="10" t="inlineStr">
        <is>
          <t>Needs % of pay</t>
        </is>
      </c>
      <c r="B10" s="19" t="n">
        <v>0.5</v>
      </c>
      <c r="C10" s="20">
        <f>IF(OR(SUM(C6:C8)=0,C$5&lt;=0),"",C6/C$5)</f>
        <v/>
      </c>
      <c r="D10" s="20">
        <f>IF(OR(SUM(D6:D8)=0,D$5&lt;=0),"",D6/D$5)</f>
        <v/>
      </c>
      <c r="E10" s="20">
        <f>IF(OR(SUM(E6:E8)=0,E$5&lt;=0),"",E6/E$5)</f>
        <v/>
      </c>
      <c r="F10" s="20">
        <f>IF(OR(SUM(F6:F8)=0,F$5&lt;=0),"",F6/F$5)</f>
        <v/>
      </c>
      <c r="G10" s="20">
        <f>IF(OR(SUM(G6:G8)=0,G$5&lt;=0),"",G6/G$5)</f>
        <v/>
      </c>
      <c r="H10" s="20">
        <f>IF(OR(SUM(H6:H8)=0,H$5&lt;=0),"",H6/H$5)</f>
        <v/>
      </c>
      <c r="I10" s="20">
        <f>IF(OR(SUM(I6:I8)=0,I$5&lt;=0),"",I6/I$5)</f>
        <v/>
      </c>
      <c r="J10" s="20">
        <f>IF(OR(SUM(J6:J8)=0,J$5&lt;=0),"",J6/J$5)</f>
        <v/>
      </c>
      <c r="K10" s="20">
        <f>IF(OR(SUM(K6:K8)=0,K$5&lt;=0),"",K6/K$5)</f>
        <v/>
      </c>
      <c r="L10" s="20">
        <f>IF(OR(SUM(L6:L8)=0,L$5&lt;=0),"",L6/L$5)</f>
        <v/>
      </c>
      <c r="M10" s="20">
        <f>IF(OR(SUM(M6:M8)=0,M$5&lt;=0),"",M6/M$5)</f>
        <v/>
      </c>
      <c r="N10" s="20">
        <f>IF(OR(SUM(N6:N8)=0,N$5&lt;=0),"",N6/N$5)</f>
        <v/>
      </c>
      <c r="O10" s="20">
        <f>IF(OR(SUM(O6:O8)=0,O$5&lt;=0),"",O6/O$5)</f>
        <v/>
      </c>
    </row>
    <row r="11">
      <c r="A11" s="10" t="inlineStr">
        <is>
          <t>Wants % of pay</t>
        </is>
      </c>
      <c r="B11" s="19" t="n">
        <v>0.3</v>
      </c>
      <c r="C11" s="20">
        <f>IF(OR(SUM(C6:C8)=0,C$5&lt;=0),"",C7/C$5)</f>
        <v/>
      </c>
      <c r="D11" s="20">
        <f>IF(OR(SUM(D6:D8)=0,D$5&lt;=0),"",D7/D$5)</f>
        <v/>
      </c>
      <c r="E11" s="20">
        <f>IF(OR(SUM(E6:E8)=0,E$5&lt;=0),"",E7/E$5)</f>
        <v/>
      </c>
      <c r="F11" s="20">
        <f>IF(OR(SUM(F6:F8)=0,F$5&lt;=0),"",F7/F$5)</f>
        <v/>
      </c>
      <c r="G11" s="20">
        <f>IF(OR(SUM(G6:G8)=0,G$5&lt;=0),"",G7/G$5)</f>
        <v/>
      </c>
      <c r="H11" s="20">
        <f>IF(OR(SUM(H6:H8)=0,H$5&lt;=0),"",H7/H$5)</f>
        <v/>
      </c>
      <c r="I11" s="20">
        <f>IF(OR(SUM(I6:I8)=0,I$5&lt;=0),"",I7/I$5)</f>
        <v/>
      </c>
      <c r="J11" s="20">
        <f>IF(OR(SUM(J6:J8)=0,J$5&lt;=0),"",J7/J$5)</f>
        <v/>
      </c>
      <c r="K11" s="20">
        <f>IF(OR(SUM(K6:K8)=0,K$5&lt;=0),"",K7/K$5)</f>
        <v/>
      </c>
      <c r="L11" s="20">
        <f>IF(OR(SUM(L6:L8)=0,L$5&lt;=0),"",L7/L$5)</f>
        <v/>
      </c>
      <c r="M11" s="20">
        <f>IF(OR(SUM(M6:M8)=0,M$5&lt;=0),"",M7/M$5)</f>
        <v/>
      </c>
      <c r="N11" s="20">
        <f>IF(OR(SUM(N6:N8)=0,N$5&lt;=0),"",N7/N$5)</f>
        <v/>
      </c>
      <c r="O11" s="20">
        <f>IF(OR(SUM(O6:O8)=0,O$5&lt;=0),"",O7/O$5)</f>
        <v/>
      </c>
    </row>
    <row r="12">
      <c r="A12" s="8" t="inlineStr">
        <is>
          <t>Future You % (savings rate)</t>
        </is>
      </c>
      <c r="B12" s="19" t="n">
        <v>0.2</v>
      </c>
      <c r="C12" s="21">
        <f>IF(OR(SUM(C6:C8)=0,C$5&lt;=0),"",C8/C$5)</f>
        <v/>
      </c>
      <c r="D12" s="21">
        <f>IF(OR(SUM(D6:D8)=0,D$5&lt;=0),"",D8/D$5)</f>
        <v/>
      </c>
      <c r="E12" s="21">
        <f>IF(OR(SUM(E6:E8)=0,E$5&lt;=0),"",E8/E$5)</f>
        <v/>
      </c>
      <c r="F12" s="21">
        <f>IF(OR(SUM(F6:F8)=0,F$5&lt;=0),"",F8/F$5)</f>
        <v/>
      </c>
      <c r="G12" s="21">
        <f>IF(OR(SUM(G6:G8)=0,G$5&lt;=0),"",G8/G$5)</f>
        <v/>
      </c>
      <c r="H12" s="21">
        <f>IF(OR(SUM(H6:H8)=0,H$5&lt;=0),"",H8/H$5)</f>
        <v/>
      </c>
      <c r="I12" s="21">
        <f>IF(OR(SUM(I6:I8)=0,I$5&lt;=0),"",I8/I$5)</f>
        <v/>
      </c>
      <c r="J12" s="21">
        <f>IF(OR(SUM(J6:J8)=0,J$5&lt;=0),"",J8/J$5)</f>
        <v/>
      </c>
      <c r="K12" s="21">
        <f>IF(OR(SUM(K6:K8)=0,K$5&lt;=0),"",K8/K$5)</f>
        <v/>
      </c>
      <c r="L12" s="21">
        <f>IF(OR(SUM(L6:L8)=0,L$5&lt;=0),"",L8/L$5)</f>
        <v/>
      </c>
      <c r="M12" s="21">
        <f>IF(OR(SUM(M6:M8)=0,M$5&lt;=0),"",M8/M$5)</f>
        <v/>
      </c>
      <c r="N12" s="21">
        <f>IF(OR(SUM(N6:N8)=0,N$5&lt;=0),"",N8/N$5)</f>
        <v/>
      </c>
      <c r="O12" s="21">
        <f>IF(OR(SUM(O6:O8)=0,O$5&lt;=0),"",O8/O$5)</f>
        <v/>
      </c>
    </row>
    <row r="13">
      <c r="A13" s="10" t="inlineStr">
        <is>
          <t>Needs check</t>
        </is>
      </c>
      <c r="B13" s="17" t="inlineStr">
        <is>
          <t>Needs ≤ 50%</t>
        </is>
      </c>
      <c r="C13" s="22">
        <f>IF(C10="","",IF(C10&gt;0.5,"Over 50%","OK"))</f>
        <v/>
      </c>
      <c r="D13" s="22">
        <f>IF(D10="","",IF(D10&gt;0.5,"Over 50%","OK"))</f>
        <v/>
      </c>
      <c r="E13" s="22">
        <f>IF(E10="","",IF(E10&gt;0.5,"Over 50%","OK"))</f>
        <v/>
      </c>
      <c r="F13" s="22">
        <f>IF(F10="","",IF(F10&gt;0.5,"Over 50%","OK"))</f>
        <v/>
      </c>
      <c r="G13" s="22">
        <f>IF(G10="","",IF(G10&gt;0.5,"Over 50%","OK"))</f>
        <v/>
      </c>
      <c r="H13" s="22">
        <f>IF(H10="","",IF(H10&gt;0.5,"Over 50%","OK"))</f>
        <v/>
      </c>
      <c r="I13" s="22">
        <f>IF(I10="","",IF(I10&gt;0.5,"Over 50%","OK"))</f>
        <v/>
      </c>
      <c r="J13" s="22">
        <f>IF(J10="","",IF(J10&gt;0.5,"Over 50%","OK"))</f>
        <v/>
      </c>
      <c r="K13" s="22">
        <f>IF(K10="","",IF(K10&gt;0.5,"Over 50%","OK"))</f>
        <v/>
      </c>
      <c r="L13" s="22">
        <f>IF(L10="","",IF(L10&gt;0.5,"Over 50%","OK"))</f>
        <v/>
      </c>
      <c r="M13" s="22">
        <f>IF(M10="","",IF(M10&gt;0.5,"Over 50%","OK"))</f>
        <v/>
      </c>
      <c r="N13" s="22">
        <f>IF(N10="","",IF(N10&gt;0.5,"Over 50%","OK"))</f>
        <v/>
      </c>
      <c r="O13" s="22">
        <f>IF(O10="","",IF(O10&gt;0.5,"Over 50%","OK"))</f>
        <v/>
      </c>
    </row>
    <row r="15">
      <c r="A15" s="13" t="inlineStr">
        <is>
          <t>Category</t>
        </is>
      </c>
      <c r="B15" s="14" t="inlineStr">
        <is>
          <t>Bucket</t>
        </is>
      </c>
      <c r="C15" s="14" t="inlineStr">
        <is>
          <t>Jan</t>
        </is>
      </c>
      <c r="D15" s="14" t="inlineStr">
        <is>
          <t>Feb</t>
        </is>
      </c>
      <c r="E15" s="14" t="inlineStr">
        <is>
          <t>Mar</t>
        </is>
      </c>
      <c r="F15" s="14" t="inlineStr">
        <is>
          <t>Apr</t>
        </is>
      </c>
      <c r="G15" s="14" t="inlineStr">
        <is>
          <t>May</t>
        </is>
      </c>
      <c r="H15" s="14" t="inlineStr">
        <is>
          <t>Jun</t>
        </is>
      </c>
      <c r="I15" s="14" t="inlineStr">
        <is>
          <t>Jul</t>
        </is>
      </c>
      <c r="J15" s="14" t="inlineStr">
        <is>
          <t>Aug</t>
        </is>
      </c>
      <c r="K15" s="14" t="inlineStr">
        <is>
          <t>Sep</t>
        </is>
      </c>
      <c r="L15" s="14" t="inlineStr">
        <is>
          <t>Oct</t>
        </is>
      </c>
      <c r="M15" s="14" t="inlineStr">
        <is>
          <t>Nov</t>
        </is>
      </c>
      <c r="N15" s="14" t="inlineStr">
        <is>
          <t>Dec</t>
        </is>
      </c>
      <c r="O15" s="14" t="inlineStr">
        <is>
          <t>Year</t>
        </is>
      </c>
    </row>
    <row r="16">
      <c r="A16" s="6" t="inlineStr">
        <is>
          <t>Rent / mortgage</t>
        </is>
      </c>
      <c r="B16" s="6" t="inlineStr">
        <is>
          <t>Needs</t>
        </is>
      </c>
      <c r="C16" s="9" t="n"/>
      <c r="D16" s="9" t="n"/>
      <c r="E16" s="9" t="n"/>
      <c r="F16" s="9" t="n"/>
      <c r="G16" s="9" t="n"/>
      <c r="H16" s="9" t="n"/>
      <c r="I16" s="9" t="n"/>
      <c r="J16" s="9" t="n"/>
      <c r="K16" s="9" t="n"/>
      <c r="L16" s="9" t="n"/>
      <c r="M16" s="9" t="n"/>
      <c r="N16" s="9" t="n"/>
      <c r="O16" s="15">
        <f>IF(COUNT(C16:N16)=0,"",SUM(C16:N16))</f>
        <v/>
      </c>
    </row>
    <row r="17">
      <c r="A17" s="6" t="inlineStr">
        <is>
          <t>Groceries</t>
        </is>
      </c>
      <c r="B17" s="6" t="inlineStr">
        <is>
          <t>Needs</t>
        </is>
      </c>
      <c r="C17" s="9" t="n"/>
      <c r="D17" s="9" t="n"/>
      <c r="E17" s="9" t="n"/>
      <c r="F17" s="9" t="n"/>
      <c r="G17" s="9" t="n"/>
      <c r="H17" s="9" t="n"/>
      <c r="I17" s="9" t="n"/>
      <c r="J17" s="9" t="n"/>
      <c r="K17" s="9" t="n"/>
      <c r="L17" s="9" t="n"/>
      <c r="M17" s="9" t="n"/>
      <c r="N17" s="9" t="n"/>
      <c r="O17" s="15">
        <f>IF(COUNT(C17:N17)=0,"",SUM(C17:N17))</f>
        <v/>
      </c>
    </row>
    <row r="18">
      <c r="A18" s="6" t="inlineStr">
        <is>
          <t>Utilities</t>
        </is>
      </c>
      <c r="B18" s="6" t="inlineStr">
        <is>
          <t>Needs</t>
        </is>
      </c>
      <c r="C18" s="9" t="n"/>
      <c r="D18" s="9" t="n"/>
      <c r="E18" s="9" t="n"/>
      <c r="F18" s="9" t="n"/>
      <c r="G18" s="9" t="n"/>
      <c r="H18" s="9" t="n"/>
      <c r="I18" s="9" t="n"/>
      <c r="J18" s="9" t="n"/>
      <c r="K18" s="9" t="n"/>
      <c r="L18" s="9" t="n"/>
      <c r="M18" s="9" t="n"/>
      <c r="N18" s="9" t="n"/>
      <c r="O18" s="15">
        <f>IF(COUNT(C18:N18)=0,"",SUM(C18:N18))</f>
        <v/>
      </c>
    </row>
    <row r="19">
      <c r="A19" s="6" t="inlineStr">
        <is>
          <t>Insurance</t>
        </is>
      </c>
      <c r="B19" s="6" t="inlineStr">
        <is>
          <t>Needs</t>
        </is>
      </c>
      <c r="C19" s="9" t="n"/>
      <c r="D19" s="9" t="n"/>
      <c r="E19" s="9" t="n"/>
      <c r="F19" s="9" t="n"/>
      <c r="G19" s="9" t="n"/>
      <c r="H19" s="9" t="n"/>
      <c r="I19" s="9" t="n"/>
      <c r="J19" s="9" t="n"/>
      <c r="K19" s="9" t="n"/>
      <c r="L19" s="9" t="n"/>
      <c r="M19" s="9" t="n"/>
      <c r="N19" s="9" t="n"/>
      <c r="O19" s="15">
        <f>IF(COUNT(C19:N19)=0,"",SUM(C19:N19))</f>
        <v/>
      </c>
    </row>
    <row r="20">
      <c r="A20" s="6" t="inlineStr">
        <is>
          <t>Transportation</t>
        </is>
      </c>
      <c r="B20" s="6" t="inlineStr">
        <is>
          <t>Needs</t>
        </is>
      </c>
      <c r="C20" s="9" t="n"/>
      <c r="D20" s="9" t="n"/>
      <c r="E20" s="9" t="n"/>
      <c r="F20" s="9" t="n"/>
      <c r="G20" s="9" t="n"/>
      <c r="H20" s="9" t="n"/>
      <c r="I20" s="9" t="n"/>
      <c r="J20" s="9" t="n"/>
      <c r="K20" s="9" t="n"/>
      <c r="L20" s="9" t="n"/>
      <c r="M20" s="9" t="n"/>
      <c r="N20" s="9" t="n"/>
      <c r="O20" s="15">
        <f>IF(COUNT(C20:N20)=0,"",SUM(C20:N20))</f>
        <v/>
      </c>
    </row>
    <row r="21">
      <c r="A21" s="6" t="inlineStr">
        <is>
          <t>Minimum debt payments</t>
        </is>
      </c>
      <c r="B21" s="6" t="inlineStr">
        <is>
          <t>Needs</t>
        </is>
      </c>
      <c r="C21" s="9" t="n"/>
      <c r="D21" s="9" t="n"/>
      <c r="E21" s="9" t="n"/>
      <c r="F21" s="9" t="n"/>
      <c r="G21" s="9" t="n"/>
      <c r="H21" s="9" t="n"/>
      <c r="I21" s="9" t="n"/>
      <c r="J21" s="9" t="n"/>
      <c r="K21" s="9" t="n"/>
      <c r="L21" s="9" t="n"/>
      <c r="M21" s="9" t="n"/>
      <c r="N21" s="9" t="n"/>
      <c r="O21" s="15">
        <f>IF(COUNT(C21:N21)=0,"",SUM(C21:N21))</f>
        <v/>
      </c>
    </row>
    <row r="22">
      <c r="A22" s="6" t="inlineStr">
        <is>
          <t>Dining out</t>
        </is>
      </c>
      <c r="B22" s="6" t="inlineStr">
        <is>
          <t>Wants</t>
        </is>
      </c>
      <c r="C22" s="9" t="n"/>
      <c r="D22" s="9" t="n"/>
      <c r="E22" s="9" t="n"/>
      <c r="F22" s="9" t="n"/>
      <c r="G22" s="9" t="n"/>
      <c r="H22" s="9" t="n"/>
      <c r="I22" s="9" t="n"/>
      <c r="J22" s="9" t="n"/>
      <c r="K22" s="9" t="n"/>
      <c r="L22" s="9" t="n"/>
      <c r="M22" s="9" t="n"/>
      <c r="N22" s="9" t="n"/>
      <c r="O22" s="15">
        <f>IF(COUNT(C22:N22)=0,"",SUM(C22:N22))</f>
        <v/>
      </c>
    </row>
    <row r="23">
      <c r="A23" s="6" t="inlineStr">
        <is>
          <t>Travel</t>
        </is>
      </c>
      <c r="B23" s="6" t="inlineStr">
        <is>
          <t>Wants</t>
        </is>
      </c>
      <c r="C23" s="9" t="n"/>
      <c r="D23" s="9" t="n"/>
      <c r="E23" s="9" t="n"/>
      <c r="F23" s="9" t="n"/>
      <c r="G23" s="9" t="n"/>
      <c r="H23" s="9" t="n"/>
      <c r="I23" s="9" t="n"/>
      <c r="J23" s="9" t="n"/>
      <c r="K23" s="9" t="n"/>
      <c r="L23" s="9" t="n"/>
      <c r="M23" s="9" t="n"/>
      <c r="N23" s="9" t="n"/>
      <c r="O23" s="15">
        <f>IF(COUNT(C23:N23)=0,"",SUM(C23:N23))</f>
        <v/>
      </c>
    </row>
    <row r="24">
      <c r="A24" s="6" t="inlineStr">
        <is>
          <t>Entertainment</t>
        </is>
      </c>
      <c r="B24" s="6" t="inlineStr">
        <is>
          <t>Wants</t>
        </is>
      </c>
      <c r="C24" s="9" t="n"/>
      <c r="D24" s="9" t="n"/>
      <c r="E24" s="9" t="n"/>
      <c r="F24" s="9" t="n"/>
      <c r="G24" s="9" t="n"/>
      <c r="H24" s="9" t="n"/>
      <c r="I24" s="9" t="n"/>
      <c r="J24" s="9" t="n"/>
      <c r="K24" s="9" t="n"/>
      <c r="L24" s="9" t="n"/>
      <c r="M24" s="9" t="n"/>
      <c r="N24" s="9" t="n"/>
      <c r="O24" s="15">
        <f>IF(COUNT(C24:N24)=0,"",SUM(C24:N24))</f>
        <v/>
      </c>
    </row>
    <row r="25">
      <c r="A25" s="6" t="inlineStr">
        <is>
          <t>Subscriptions</t>
        </is>
      </c>
      <c r="B25" s="6" t="inlineStr">
        <is>
          <t>Wants</t>
        </is>
      </c>
      <c r="C25" s="9" t="n"/>
      <c r="D25" s="9" t="n"/>
      <c r="E25" s="9" t="n"/>
      <c r="F25" s="9" t="n"/>
      <c r="G25" s="9" t="n"/>
      <c r="H25" s="9" t="n"/>
      <c r="I25" s="9" t="n"/>
      <c r="J25" s="9" t="n"/>
      <c r="K25" s="9" t="n"/>
      <c r="L25" s="9" t="n"/>
      <c r="M25" s="9" t="n"/>
      <c r="N25" s="9" t="n"/>
      <c r="O25" s="15">
        <f>IF(COUNT(C25:N25)=0,"",SUM(C25:N25))</f>
        <v/>
      </c>
    </row>
    <row r="26">
      <c r="A26" s="6" t="inlineStr">
        <is>
          <t>Shopping</t>
        </is>
      </c>
      <c r="B26" s="6" t="inlineStr">
        <is>
          <t>Wants</t>
        </is>
      </c>
      <c r="C26" s="9" t="n"/>
      <c r="D26" s="9" t="n"/>
      <c r="E26" s="9" t="n"/>
      <c r="F26" s="9" t="n"/>
      <c r="G26" s="9" t="n"/>
      <c r="H26" s="9" t="n"/>
      <c r="I26" s="9" t="n"/>
      <c r="J26" s="9" t="n"/>
      <c r="K26" s="9" t="n"/>
      <c r="L26" s="9" t="n"/>
      <c r="M26" s="9" t="n"/>
      <c r="N26" s="9" t="n"/>
      <c r="O26" s="15">
        <f>IF(COUNT(C26:N26)=0,"",SUM(C26:N26))</f>
        <v/>
      </c>
    </row>
    <row r="27">
      <c r="A27" s="6" t="inlineStr">
        <is>
          <t>Investing sweep</t>
        </is>
      </c>
      <c r="B27" s="6" t="inlineStr">
        <is>
          <t>Future You</t>
        </is>
      </c>
      <c r="C27" s="9" t="n"/>
      <c r="D27" s="9" t="n"/>
      <c r="E27" s="9" t="n"/>
      <c r="F27" s="9" t="n"/>
      <c r="G27" s="9" t="n"/>
      <c r="H27" s="9" t="n"/>
      <c r="I27" s="9" t="n"/>
      <c r="J27" s="9" t="n"/>
      <c r="K27" s="9" t="n"/>
      <c r="L27" s="9" t="n"/>
      <c r="M27" s="9" t="n"/>
      <c r="N27" s="9" t="n"/>
      <c r="O27" s="15">
        <f>IF(COUNT(C27:N27)=0,"",SUM(C27:N27))</f>
        <v/>
      </c>
    </row>
    <row r="28">
      <c r="A28" s="6" t="inlineStr">
        <is>
          <t>High-yield savings</t>
        </is>
      </c>
      <c r="B28" s="6" t="inlineStr">
        <is>
          <t>Future You</t>
        </is>
      </c>
      <c r="C28" s="9" t="n"/>
      <c r="D28" s="9" t="n"/>
      <c r="E28" s="9" t="n"/>
      <c r="F28" s="9" t="n"/>
      <c r="G28" s="9" t="n"/>
      <c r="H28" s="9" t="n"/>
      <c r="I28" s="9" t="n"/>
      <c r="J28" s="9" t="n"/>
      <c r="K28" s="9" t="n"/>
      <c r="L28" s="9" t="n"/>
      <c r="M28" s="9" t="n"/>
      <c r="N28" s="9" t="n"/>
      <c r="O28" s="15">
        <f>IF(COUNT(C28:N28)=0,"",SUM(C28:N28))</f>
        <v/>
      </c>
    </row>
    <row r="29">
      <c r="A29" s="6" t="inlineStr">
        <is>
          <t>Extra debt paydown</t>
        </is>
      </c>
      <c r="B29" s="6" t="inlineStr">
        <is>
          <t>Future You</t>
        </is>
      </c>
      <c r="C29" s="9" t="n"/>
      <c r="D29" s="9" t="n"/>
      <c r="E29" s="9" t="n"/>
      <c r="F29" s="9" t="n"/>
      <c r="G29" s="9" t="n"/>
      <c r="H29" s="9" t="n"/>
      <c r="I29" s="9" t="n"/>
      <c r="J29" s="9" t="n"/>
      <c r="K29" s="9" t="n"/>
      <c r="L29" s="9" t="n"/>
      <c r="M29" s="9" t="n"/>
      <c r="N29" s="9" t="n"/>
      <c r="O29" s="15">
        <f>IF(COUNT(C29:N29)=0,"",SUM(C29:N29))</f>
        <v/>
      </c>
    </row>
    <row r="30">
      <c r="A30" s="6" t="n"/>
      <c r="B30" s="6" t="n"/>
      <c r="C30" s="9" t="n"/>
      <c r="D30" s="9" t="n"/>
      <c r="E30" s="9" t="n"/>
      <c r="F30" s="9" t="n"/>
      <c r="G30" s="9" t="n"/>
      <c r="H30" s="9" t="n"/>
      <c r="I30" s="9" t="n"/>
      <c r="J30" s="9" t="n"/>
      <c r="K30" s="9" t="n"/>
      <c r="L30" s="9" t="n"/>
      <c r="M30" s="9" t="n"/>
      <c r="N30" s="9" t="n"/>
      <c r="O30" s="15">
        <f>IF(COUNT(C30:N30)=0,"",SUM(C30:N30))</f>
        <v/>
      </c>
    </row>
    <row r="31">
      <c r="A31" s="6" t="n"/>
      <c r="B31" s="6" t="n"/>
      <c r="C31" s="9" t="n"/>
      <c r="D31" s="9" t="n"/>
      <c r="E31" s="9" t="n"/>
      <c r="F31" s="9" t="n"/>
      <c r="G31" s="9" t="n"/>
      <c r="H31" s="9" t="n"/>
      <c r="I31" s="9" t="n"/>
      <c r="J31" s="9" t="n"/>
      <c r="K31" s="9" t="n"/>
      <c r="L31" s="9" t="n"/>
      <c r="M31" s="9" t="n"/>
      <c r="N31" s="9" t="n"/>
      <c r="O31" s="15">
        <f>IF(COUNT(C31:N31)=0,"",SUM(C31:N31))</f>
        <v/>
      </c>
    </row>
    <row r="32">
      <c r="A32" s="6" t="n"/>
      <c r="B32" s="6" t="n"/>
      <c r="C32" s="9" t="n"/>
      <c r="D32" s="9" t="n"/>
      <c r="E32" s="9" t="n"/>
      <c r="F32" s="9" t="n"/>
      <c r="G32" s="9" t="n"/>
      <c r="H32" s="9" t="n"/>
      <c r="I32" s="9" t="n"/>
      <c r="J32" s="9" t="n"/>
      <c r="K32" s="9" t="n"/>
      <c r="L32" s="9" t="n"/>
      <c r="M32" s="9" t="n"/>
      <c r="N32" s="9" t="n"/>
      <c r="O32" s="15">
        <f>IF(COUNT(C32:N32)=0,"",SUM(C32:N32))</f>
        <v/>
      </c>
    </row>
    <row r="33">
      <c r="A33" s="6" t="n"/>
      <c r="B33" s="6" t="n"/>
      <c r="C33" s="9" t="n"/>
      <c r="D33" s="9" t="n"/>
      <c r="E33" s="9" t="n"/>
      <c r="F33" s="9" t="n"/>
      <c r="G33" s="9" t="n"/>
      <c r="H33" s="9" t="n"/>
      <c r="I33" s="9" t="n"/>
      <c r="J33" s="9" t="n"/>
      <c r="K33" s="9" t="n"/>
      <c r="L33" s="9" t="n"/>
      <c r="M33" s="9" t="n"/>
      <c r="N33" s="9" t="n"/>
      <c r="O33" s="15">
        <f>IF(COUNT(C33:N33)=0,"",SUM(C33:N33))</f>
        <v/>
      </c>
    </row>
    <row r="34">
      <c r="A34" s="6" t="n"/>
      <c r="B34" s="6" t="n"/>
      <c r="C34" s="9" t="n"/>
      <c r="D34" s="9" t="n"/>
      <c r="E34" s="9" t="n"/>
      <c r="F34" s="9" t="n"/>
      <c r="G34" s="9" t="n"/>
      <c r="H34" s="9" t="n"/>
      <c r="I34" s="9" t="n"/>
      <c r="J34" s="9" t="n"/>
      <c r="K34" s="9" t="n"/>
      <c r="L34" s="9" t="n"/>
      <c r="M34" s="9" t="n"/>
      <c r="N34" s="9" t="n"/>
      <c r="O34" s="15">
        <f>IF(COUNT(C34:N34)=0,"",SUM(C34:N34))</f>
        <v/>
      </c>
    </row>
    <row r="35">
      <c r="A35" s="6" t="n"/>
      <c r="B35" s="6" t="n"/>
      <c r="C35" s="9" t="n"/>
      <c r="D35" s="9" t="n"/>
      <c r="E35" s="9" t="n"/>
      <c r="F35" s="9" t="n"/>
      <c r="G35" s="9" t="n"/>
      <c r="H35" s="9" t="n"/>
      <c r="I35" s="9" t="n"/>
      <c r="J35" s="9" t="n"/>
      <c r="K35" s="9" t="n"/>
      <c r="L35" s="9" t="n"/>
      <c r="M35" s="9" t="n"/>
      <c r="N35" s="9" t="n"/>
      <c r="O35" s="15">
        <f>IF(COUNT(C35:N35)=0,"",SUM(C35:N35))</f>
        <v/>
      </c>
    </row>
    <row r="36">
      <c r="A36" s="6" t="n"/>
      <c r="B36" s="6" t="n"/>
      <c r="C36" s="9" t="n"/>
      <c r="D36" s="9" t="n"/>
      <c r="E36" s="9" t="n"/>
      <c r="F36" s="9" t="n"/>
      <c r="G36" s="9" t="n"/>
      <c r="H36" s="9" t="n"/>
      <c r="I36" s="9" t="n"/>
      <c r="J36" s="9" t="n"/>
      <c r="K36" s="9" t="n"/>
      <c r="L36" s="9" t="n"/>
      <c r="M36" s="9" t="n"/>
      <c r="N36" s="9" t="n"/>
      <c r="O36" s="15">
        <f>IF(COUNT(C36:N36)=0,"",SUM(C36:N36))</f>
        <v/>
      </c>
    </row>
    <row r="37">
      <c r="A37" s="6" t="n"/>
      <c r="B37" s="6" t="n"/>
      <c r="C37" s="9" t="n"/>
      <c r="D37" s="9" t="n"/>
      <c r="E37" s="9" t="n"/>
      <c r="F37" s="9" t="n"/>
      <c r="G37" s="9" t="n"/>
      <c r="H37" s="9" t="n"/>
      <c r="I37" s="9" t="n"/>
      <c r="J37" s="9" t="n"/>
      <c r="K37" s="9" t="n"/>
      <c r="L37" s="9" t="n"/>
      <c r="M37" s="9" t="n"/>
      <c r="N37" s="9" t="n"/>
      <c r="O37" s="15">
        <f>IF(COUNT(C37:N37)=0,"",SUM(C37:N37))</f>
        <v/>
      </c>
    </row>
    <row r="38">
      <c r="A38" s="6" t="n"/>
      <c r="B38" s="6" t="n"/>
      <c r="C38" s="9" t="n"/>
      <c r="D38" s="9" t="n"/>
      <c r="E38" s="9" t="n"/>
      <c r="F38" s="9" t="n"/>
      <c r="G38" s="9" t="n"/>
      <c r="H38" s="9" t="n"/>
      <c r="I38" s="9" t="n"/>
      <c r="J38" s="9" t="n"/>
      <c r="K38" s="9" t="n"/>
      <c r="L38" s="9" t="n"/>
      <c r="M38" s="9" t="n"/>
      <c r="N38" s="9" t="n"/>
      <c r="O38" s="15">
        <f>IF(COUNT(C38:N38)=0,"",SUM(C38:N38))</f>
        <v/>
      </c>
    </row>
    <row r="39">
      <c r="A39" s="6" t="n"/>
      <c r="B39" s="6" t="n"/>
      <c r="C39" s="9" t="n"/>
      <c r="D39" s="9" t="n"/>
      <c r="E39" s="9" t="n"/>
      <c r="F39" s="9" t="n"/>
      <c r="G39" s="9" t="n"/>
      <c r="H39" s="9" t="n"/>
      <c r="I39" s="9" t="n"/>
      <c r="J39" s="9" t="n"/>
      <c r="K39" s="9" t="n"/>
      <c r="L39" s="9" t="n"/>
      <c r="M39" s="9" t="n"/>
      <c r="N39" s="9" t="n"/>
      <c r="O39" s="15">
        <f>IF(COUNT(C39:N39)=0,"",SUM(C39:N39))</f>
        <v/>
      </c>
    </row>
    <row r="40">
      <c r="A40" s="6" t="n"/>
      <c r="B40" s="6" t="n"/>
      <c r="C40" s="9" t="n"/>
      <c r="D40" s="9" t="n"/>
      <c r="E40" s="9" t="n"/>
      <c r="F40" s="9" t="n"/>
      <c r="G40" s="9" t="n"/>
      <c r="H40" s="9" t="n"/>
      <c r="I40" s="9" t="n"/>
      <c r="J40" s="9" t="n"/>
      <c r="K40" s="9" t="n"/>
      <c r="L40" s="9" t="n"/>
      <c r="M40" s="9" t="n"/>
      <c r="N40" s="9" t="n"/>
      <c r="O40" s="15">
        <f>IF(COUNT(C40:N40)=0,"",SUM(C40:N40))</f>
        <v/>
      </c>
    </row>
    <row r="41">
      <c r="A41" s="6" t="n"/>
      <c r="B41" s="6" t="n"/>
      <c r="C41" s="9" t="n"/>
      <c r="D41" s="9" t="n"/>
      <c r="E41" s="9" t="n"/>
      <c r="F41" s="9" t="n"/>
      <c r="G41" s="9" t="n"/>
      <c r="H41" s="9" t="n"/>
      <c r="I41" s="9" t="n"/>
      <c r="J41" s="9" t="n"/>
      <c r="K41" s="9" t="n"/>
      <c r="L41" s="9" t="n"/>
      <c r="M41" s="9" t="n"/>
      <c r="N41" s="9" t="n"/>
      <c r="O41" s="15">
        <f>IF(COUNT(C41:N41)=0,"",SUM(C41:N41))</f>
        <v/>
      </c>
    </row>
    <row r="42">
      <c r="A42" s="6" t="n"/>
      <c r="B42" s="6" t="n"/>
      <c r="C42" s="9" t="n"/>
      <c r="D42" s="9" t="n"/>
      <c r="E42" s="9" t="n"/>
      <c r="F42" s="9" t="n"/>
      <c r="G42" s="9" t="n"/>
      <c r="H42" s="9" t="n"/>
      <c r="I42" s="9" t="n"/>
      <c r="J42" s="9" t="n"/>
      <c r="K42" s="9" t="n"/>
      <c r="L42" s="9" t="n"/>
      <c r="M42" s="9" t="n"/>
      <c r="N42" s="9" t="n"/>
      <c r="O42" s="15">
        <f>IF(COUNT(C42:N42)=0,"",SUM(C42:N42))</f>
        <v/>
      </c>
    </row>
    <row r="43">
      <c r="A43" s="6" t="n"/>
      <c r="B43" s="6" t="n"/>
      <c r="C43" s="9" t="n"/>
      <c r="D43" s="9" t="n"/>
      <c r="E43" s="9" t="n"/>
      <c r="F43" s="9" t="n"/>
      <c r="G43" s="9" t="n"/>
      <c r="H43" s="9" t="n"/>
      <c r="I43" s="9" t="n"/>
      <c r="J43" s="9" t="n"/>
      <c r="K43" s="9" t="n"/>
      <c r="L43" s="9" t="n"/>
      <c r="M43" s="9" t="n"/>
      <c r="N43" s="9" t="n"/>
      <c r="O43" s="15">
        <f>IF(COUNT(C43:N43)=0,"",SUM(C43:N43))</f>
        <v/>
      </c>
    </row>
    <row r="44">
      <c r="A44" s="6" t="n"/>
      <c r="B44" s="6" t="n"/>
      <c r="C44" s="9" t="n"/>
      <c r="D44" s="9" t="n"/>
      <c r="E44" s="9" t="n"/>
      <c r="F44" s="9" t="n"/>
      <c r="G44" s="9" t="n"/>
      <c r="H44" s="9" t="n"/>
      <c r="I44" s="9" t="n"/>
      <c r="J44" s="9" t="n"/>
      <c r="K44" s="9" t="n"/>
      <c r="L44" s="9" t="n"/>
      <c r="M44" s="9" t="n"/>
      <c r="N44" s="9" t="n"/>
      <c r="O44" s="15">
        <f>IF(COUNT(C44:N44)=0,"",SUM(C44:N44))</f>
        <v/>
      </c>
    </row>
    <row r="45">
      <c r="A45" s="6" t="n"/>
      <c r="B45" s="6" t="n"/>
      <c r="C45" s="9" t="n"/>
      <c r="D45" s="9" t="n"/>
      <c r="E45" s="9" t="n"/>
      <c r="F45" s="9" t="n"/>
      <c r="G45" s="9" t="n"/>
      <c r="H45" s="9" t="n"/>
      <c r="I45" s="9" t="n"/>
      <c r="J45" s="9" t="n"/>
      <c r="K45" s="9" t="n"/>
      <c r="L45" s="9" t="n"/>
      <c r="M45" s="9" t="n"/>
      <c r="N45" s="9" t="n"/>
      <c r="O45" s="15">
        <f>IF(COUNT(C45:N45)=0,"",SUM(C45:N45))</f>
        <v/>
      </c>
    </row>
    <row r="46">
      <c r="A46" s="6" t="n"/>
      <c r="B46" s="6" t="n"/>
      <c r="C46" s="9" t="n"/>
      <c r="D46" s="9" t="n"/>
      <c r="E46" s="9" t="n"/>
      <c r="F46" s="9" t="n"/>
      <c r="G46" s="9" t="n"/>
      <c r="H46" s="9" t="n"/>
      <c r="I46" s="9" t="n"/>
      <c r="J46" s="9" t="n"/>
      <c r="K46" s="9" t="n"/>
      <c r="L46" s="9" t="n"/>
      <c r="M46" s="9" t="n"/>
      <c r="N46" s="9" t="n"/>
      <c r="O46" s="15">
        <f>IF(COUNT(C46:N46)=0,"",SUM(C46:N46))</f>
        <v/>
      </c>
    </row>
    <row r="47">
      <c r="A47" s="6" t="n"/>
      <c r="B47" s="6" t="n"/>
      <c r="C47" s="9" t="n"/>
      <c r="D47" s="9" t="n"/>
      <c r="E47" s="9" t="n"/>
      <c r="F47" s="9" t="n"/>
      <c r="G47" s="9" t="n"/>
      <c r="H47" s="9" t="n"/>
      <c r="I47" s="9" t="n"/>
      <c r="J47" s="9" t="n"/>
      <c r="K47" s="9" t="n"/>
      <c r="L47" s="9" t="n"/>
      <c r="M47" s="9" t="n"/>
      <c r="N47" s="9" t="n"/>
      <c r="O47" s="15">
        <f>IF(COUNT(C47:N47)=0,"",SUM(C47:N47))</f>
        <v/>
      </c>
    </row>
    <row r="48">
      <c r="A48" s="6" t="n"/>
      <c r="B48" s="6" t="n"/>
      <c r="C48" s="9" t="n"/>
      <c r="D48" s="9" t="n"/>
      <c r="E48" s="9" t="n"/>
      <c r="F48" s="9" t="n"/>
      <c r="G48" s="9" t="n"/>
      <c r="H48" s="9" t="n"/>
      <c r="I48" s="9" t="n"/>
      <c r="J48" s="9" t="n"/>
      <c r="K48" s="9" t="n"/>
      <c r="L48" s="9" t="n"/>
      <c r="M48" s="9" t="n"/>
      <c r="N48" s="9" t="n"/>
      <c r="O48" s="15">
        <f>IF(COUNT(C48:N48)=0,"",SUM(C48:N48))</f>
        <v/>
      </c>
    </row>
    <row r="49">
      <c r="A49" s="6" t="n"/>
      <c r="B49" s="6" t="n"/>
      <c r="C49" s="9" t="n"/>
      <c r="D49" s="9" t="n"/>
      <c r="E49" s="9" t="n"/>
      <c r="F49" s="9" t="n"/>
      <c r="G49" s="9" t="n"/>
      <c r="H49" s="9" t="n"/>
      <c r="I49" s="9" t="n"/>
      <c r="J49" s="9" t="n"/>
      <c r="K49" s="9" t="n"/>
      <c r="L49" s="9" t="n"/>
      <c r="M49" s="9" t="n"/>
      <c r="N49" s="9" t="n"/>
      <c r="O49" s="15">
        <f>IF(COUNT(C49:N49)=0,"",SUM(C49:N49))</f>
        <v/>
      </c>
    </row>
    <row r="50">
      <c r="A50" s="6" t="n"/>
      <c r="B50" s="6" t="n"/>
      <c r="C50" s="9" t="n"/>
      <c r="D50" s="9" t="n"/>
      <c r="E50" s="9" t="n"/>
      <c r="F50" s="9" t="n"/>
      <c r="G50" s="9" t="n"/>
      <c r="H50" s="9" t="n"/>
      <c r="I50" s="9" t="n"/>
      <c r="J50" s="9" t="n"/>
      <c r="K50" s="9" t="n"/>
      <c r="L50" s="9" t="n"/>
      <c r="M50" s="9" t="n"/>
      <c r="N50" s="9" t="n"/>
      <c r="O50" s="15">
        <f>IF(COUNT(C50:N50)=0,"",SUM(C50:N50))</f>
        <v/>
      </c>
    </row>
    <row r="51">
      <c r="A51" s="6" t="n"/>
      <c r="B51" s="6" t="n"/>
      <c r="C51" s="9" t="n"/>
      <c r="D51" s="9" t="n"/>
      <c r="E51" s="9" t="n"/>
      <c r="F51" s="9" t="n"/>
      <c r="G51" s="9" t="n"/>
      <c r="H51" s="9" t="n"/>
      <c r="I51" s="9" t="n"/>
      <c r="J51" s="9" t="n"/>
      <c r="K51" s="9" t="n"/>
      <c r="L51" s="9" t="n"/>
      <c r="M51" s="9" t="n"/>
      <c r="N51" s="9" t="n"/>
      <c r="O51" s="15">
        <f>IF(COUNT(C51:N51)=0,"",SUM(C51:N51))</f>
        <v/>
      </c>
    </row>
    <row r="52">
      <c r="A52" s="6" t="n"/>
      <c r="B52" s="6" t="n"/>
      <c r="C52" s="9" t="n"/>
      <c r="D52" s="9" t="n"/>
      <c r="E52" s="9" t="n"/>
      <c r="F52" s="9" t="n"/>
      <c r="G52" s="9" t="n"/>
      <c r="H52" s="9" t="n"/>
      <c r="I52" s="9" t="n"/>
      <c r="J52" s="9" t="n"/>
      <c r="K52" s="9" t="n"/>
      <c r="L52" s="9" t="n"/>
      <c r="M52" s="9" t="n"/>
      <c r="N52" s="9" t="n"/>
      <c r="O52" s="15">
        <f>IF(COUNT(C52:N52)=0,"",SUM(C52:N52))</f>
        <v/>
      </c>
    </row>
    <row r="53">
      <c r="A53" s="6" t="n"/>
      <c r="B53" s="6" t="n"/>
      <c r="C53" s="9" t="n"/>
      <c r="D53" s="9" t="n"/>
      <c r="E53" s="9" t="n"/>
      <c r="F53" s="9" t="n"/>
      <c r="G53" s="9" t="n"/>
      <c r="H53" s="9" t="n"/>
      <c r="I53" s="9" t="n"/>
      <c r="J53" s="9" t="n"/>
      <c r="K53" s="9" t="n"/>
      <c r="L53" s="9" t="n"/>
      <c r="M53" s="9" t="n"/>
      <c r="N53" s="9" t="n"/>
      <c r="O53" s="15">
        <f>IF(COUNT(C53:N53)=0,"",SUM(C53:N53))</f>
        <v/>
      </c>
    </row>
    <row r="54">
      <c r="A54" s="6" t="n"/>
      <c r="B54" s="6" t="n"/>
      <c r="C54" s="9" t="n"/>
      <c r="D54" s="9" t="n"/>
      <c r="E54" s="9" t="n"/>
      <c r="F54" s="9" t="n"/>
      <c r="G54" s="9" t="n"/>
      <c r="H54" s="9" t="n"/>
      <c r="I54" s="9" t="n"/>
      <c r="J54" s="9" t="n"/>
      <c r="K54" s="9" t="n"/>
      <c r="L54" s="9" t="n"/>
      <c r="M54" s="9" t="n"/>
      <c r="N54" s="9" t="n"/>
      <c r="O54" s="15">
        <f>IF(COUNT(C54:N54)=0,"",SUM(C54:N54))</f>
        <v/>
      </c>
    </row>
    <row r="55">
      <c r="A55" s="6" t="n"/>
      <c r="B55" s="6" t="n"/>
      <c r="C55" s="9" t="n"/>
      <c r="D55" s="9" t="n"/>
      <c r="E55" s="9" t="n"/>
      <c r="F55" s="9" t="n"/>
      <c r="G55" s="9" t="n"/>
      <c r="H55" s="9" t="n"/>
      <c r="I55" s="9" t="n"/>
      <c r="J55" s="9" t="n"/>
      <c r="K55" s="9" t="n"/>
      <c r="L55" s="9" t="n"/>
      <c r="M55" s="9" t="n"/>
      <c r="N55" s="9" t="n"/>
      <c r="O55" s="15">
        <f>IF(COUNT(C55:N55)=0,"",SUM(C55:N55))</f>
        <v/>
      </c>
    </row>
  </sheetData>
  <conditionalFormatting sqref="C10:O10">
    <cfRule type="expression" priority="1" dxfId="0">
      <formula>AND(ISNUMBER(C10),C10&gt;0.5)</formula>
    </cfRule>
  </conditionalFormatting>
  <conditionalFormatting sqref="C13:O13">
    <cfRule type="expression" priority="2" dxfId="0">
      <formula>C13="Over 50%"</formula>
    </cfRule>
  </conditionalFormatting>
  <conditionalFormatting sqref="C9:O9">
    <cfRule type="expression" priority="3" dxfId="0">
      <formula>AND(ISNUMBER(C9),C9&lt;0)</formula>
    </cfRule>
  </conditionalFormatting>
  <dataValidations count="1">
    <dataValidation sqref="B16 B17 B18 B19 B20 B21 B22 B23 B24 B25 B26 B27 B28 B29 B30 B31 B32 B33 B34 B35 B36 B37 B38 B39 B40 B41 B42 B43 B44 B45 B46 B47 B48 B49 B50 B51 B52 B53 B54 B55" showDropDown="0" showInputMessage="0" showErrorMessage="0" allowBlank="1" type="list">
      <formula1>"Needs,Wants,Future You"</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30" customWidth="1" min="1" max="1"/>
    <col width="16" customWidth="1" min="2" max="2"/>
    <col width="4" customWidth="1" min="3" max="3"/>
    <col width="70" customWidth="1" min="4" max="4"/>
  </cols>
  <sheetData>
    <row r="1" ht="28" customHeight="1">
      <c r="A1" s="1" t="inlineStr">
        <is>
          <t>Raise Capture</t>
        </is>
      </c>
    </row>
    <row r="2">
      <c r="A2" s="2" t="inlineStr">
        <is>
          <t>How much of your last raise reached savings? Use annual figures from two points in time.</t>
        </is>
      </c>
    </row>
    <row r="5">
      <c r="A5" s="10" t="inlineStr">
        <is>
          <t>Past annual income</t>
        </is>
      </c>
      <c r="B5" s="9" t="n"/>
    </row>
    <row r="6">
      <c r="A6" s="10" t="inlineStr">
        <is>
          <t>Current annual income</t>
        </is>
      </c>
      <c r="B6" s="9" t="n"/>
    </row>
    <row r="7">
      <c r="A7" s="10" t="inlineStr">
        <is>
          <t>Past annual savings</t>
        </is>
      </c>
      <c r="B7" s="9" t="n"/>
    </row>
    <row r="8">
      <c r="A8" s="10" t="inlineStr">
        <is>
          <t>Current annual savings</t>
        </is>
      </c>
      <c r="B8" s="9" t="n"/>
    </row>
    <row r="10">
      <c r="A10" s="10" t="inlineStr">
        <is>
          <t>Income increase</t>
        </is>
      </c>
      <c r="B10" s="15">
        <f>IF(COUNT(B5:B8)&lt;4,"",B6-B5)</f>
        <v/>
      </c>
    </row>
    <row r="11">
      <c r="A11" s="10" t="inlineStr">
        <is>
          <t>Savings increase</t>
        </is>
      </c>
      <c r="B11" s="15">
        <f>IF(COUNT(B5:B8)&lt;4,"",B8-B7)</f>
        <v/>
      </c>
    </row>
    <row r="12">
      <c r="A12" s="8" t="inlineStr">
        <is>
          <t>Capture rate</t>
        </is>
      </c>
      <c r="B12" s="21">
        <f>IF(COUNT(B5:B8)&lt;4,"",IF(B10&gt;0,B11/B10,0))</f>
        <v/>
      </c>
    </row>
    <row r="14">
      <c r="A14" s="8" t="inlineStr">
        <is>
          <t>Verdict</t>
        </is>
      </c>
      <c r="B14" s="23">
        <f>IF(COUNT(B5:B8)&lt;4,"Enter all four numbers above",IF(B10&lt;=0,"Income stagnant or decreased",IF(B12&gt;=0.5,"Excellent wealth capture",IF(B12&gt;=0.2,"Moderate creep","Severe lifestyle creep"))))</f>
        <v/>
      </c>
    </row>
    <row r="15">
      <c r="A15" s="8" t="inlineStr">
        <is>
          <t>What to do</t>
        </is>
      </c>
      <c r="B15" s="5">
        <f>IF(COUNT(B5:B8)&lt;4,"",IF(B10&lt;=0,"Your income has not increased during this period. Focus on increasing your earning power or reducing baseline expenses.",IF(B12&gt;=0.5,"Your cash flow systems are successfully resisting lifestyle inflation.",IF(B12&gt;=0.2,"You are hitting the baseline 20% target, but your lifestyle is inflating noticeably. Consider routing your next raise entirely to investments.","You are spending almost all of your new money. You urgently need an intermediate Holding Account to trap raises before they hit your checking account."))))</f>
        <v/>
      </c>
    </row>
    <row r="16"/>
    <row r="17"/>
    <row r="19">
      <c r="A19" s="2" t="inlineStr">
        <is>
          <t>Thresholds: 50% or more is excellent, 20–49% is moderate, under 20% is severe.</t>
        </is>
      </c>
    </row>
  </sheetData>
  <mergeCells count="1">
    <mergeCell ref="B15:D17"/>
  </mergeCells>
  <conditionalFormatting sqref="B14">
    <cfRule type="expression" priority="1" dxfId="0">
      <formula>B14="Severe lifestyle creep"</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DIY Wealth Framework</dc:creator>
  <dcterms:created xsi:type="dcterms:W3CDTF">2026-01-01T00:00:00Z</dcterms:created>
  <dcterms:modified xsi:type="dcterms:W3CDTF">2026-09-28T13:03:02Z</dcterms:modified>
</cp:coreProperties>
</file>